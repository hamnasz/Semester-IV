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FA680F9-7121-4DEB-98ED-C9DE4DC7BA77}" xr6:coauthVersionLast="47" xr6:coauthVersionMax="47" xr10:uidLastSave="{00000000-0000-0000-0000-000000000000}"/>
  <bookViews>
    <workbookView xWindow="-110" yWindow="-110" windowWidth="19420" windowHeight="11020" xr2:uid="{46680596-222F-4B29-AF2C-B99021CFDA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9" i="1" l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98" i="1"/>
  <c r="B99" i="1"/>
  <c r="B100" i="1"/>
  <c r="B113" i="1"/>
  <c r="F115" i="1"/>
  <c r="F116" i="1"/>
  <c r="F117" i="1"/>
  <c r="F114" i="1"/>
  <c r="F112" i="1"/>
  <c r="F102" i="1"/>
  <c r="F103" i="1"/>
  <c r="F104" i="1"/>
  <c r="F105" i="1"/>
  <c r="F106" i="1"/>
  <c r="F107" i="1"/>
  <c r="F108" i="1"/>
  <c r="F109" i="1"/>
  <c r="F110" i="1"/>
  <c r="F111" i="1"/>
  <c r="F101" i="1"/>
  <c r="F97" i="1"/>
  <c r="F83" i="1"/>
  <c r="F85" i="1"/>
  <c r="F86" i="1"/>
  <c r="F87" i="1"/>
  <c r="F89" i="1"/>
  <c r="F90" i="1"/>
  <c r="F91" i="1"/>
  <c r="F92" i="1"/>
  <c r="F93" i="1"/>
  <c r="F94" i="1"/>
  <c r="F95" i="1"/>
  <c r="F96" i="1"/>
  <c r="F84" i="1"/>
  <c r="F3" i="1"/>
  <c r="F17" i="1"/>
  <c r="F42" i="1"/>
  <c r="F15" i="1"/>
  <c r="F16" i="1"/>
  <c r="F18" i="1"/>
  <c r="F19" i="1"/>
  <c r="F20" i="1"/>
  <c r="F21" i="1"/>
  <c r="F22" i="1"/>
  <c r="F23" i="1"/>
  <c r="F24" i="1"/>
  <c r="F25" i="1"/>
  <c r="F26" i="1"/>
  <c r="F27" i="1"/>
  <c r="F28" i="1"/>
  <c r="F29" i="1"/>
  <c r="F31" i="1"/>
  <c r="F32" i="1"/>
  <c r="F34" i="1"/>
  <c r="F35" i="1"/>
  <c r="F36" i="1"/>
  <c r="F37" i="1"/>
  <c r="F38" i="1"/>
  <c r="F39" i="1"/>
  <c r="F40" i="1"/>
  <c r="F41" i="1"/>
  <c r="F43" i="1"/>
  <c r="F44" i="1"/>
  <c r="F4" i="1"/>
  <c r="F5" i="1"/>
  <c r="F6" i="1"/>
  <c r="F7" i="1"/>
  <c r="F8" i="1"/>
  <c r="F9" i="1"/>
  <c r="F10" i="1"/>
  <c r="F11" i="1"/>
  <c r="F12" i="1"/>
  <c r="F13" i="1"/>
  <c r="F14" i="1"/>
  <c r="B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</calcChain>
</file>

<file path=xl/sharedStrings.xml><?xml version="1.0" encoding="utf-8"?>
<sst xmlns="http://schemas.openxmlformats.org/spreadsheetml/2006/main" count="380" uniqueCount="167">
  <si>
    <t>Aritificial Intelligence (A,B,C)</t>
  </si>
  <si>
    <t>Registration Number</t>
  </si>
  <si>
    <t>Index</t>
  </si>
  <si>
    <t>Section</t>
  </si>
  <si>
    <t>2023-BS-AI-</t>
  </si>
  <si>
    <t>2023-BS-AI-0</t>
  </si>
  <si>
    <t>2023-BS-AI-00</t>
  </si>
  <si>
    <t>A</t>
  </si>
  <si>
    <t>Name</t>
  </si>
  <si>
    <t>ZOOMER FAIZ</t>
  </si>
  <si>
    <t>M. HASSAN TARIQ</t>
  </si>
  <si>
    <t>HAMZA RIZWAN</t>
  </si>
  <si>
    <t>ZUBAIR KHAN</t>
  </si>
  <si>
    <t>WAHAJ MIRZA</t>
  </si>
  <si>
    <t>M. MUQADDAS</t>
  </si>
  <si>
    <t>AYESHA IMRAN</t>
  </si>
  <si>
    <t>SEEMAL MUSTAFA</t>
  </si>
  <si>
    <t>EMAN TAHIR</t>
  </si>
  <si>
    <t>M. AHMED</t>
  </si>
  <si>
    <t>HUMNA IMRAN</t>
  </si>
  <si>
    <t>HUZAIFA RIZWAN</t>
  </si>
  <si>
    <t>M.TAYYAB IMRAN</t>
  </si>
  <si>
    <t>MISHAL NADEEM</t>
  </si>
  <si>
    <t>YUMNA IRFAN</t>
  </si>
  <si>
    <t>ABEER AWAIS</t>
  </si>
  <si>
    <t>HARIS AWAN</t>
  </si>
  <si>
    <t>TAYYABA SHEHBAZ</t>
  </si>
  <si>
    <t>FAISAL KAMRAN</t>
  </si>
  <si>
    <t>TEHREEM FATIMA</t>
  </si>
  <si>
    <t>AMNA SHEHZAD</t>
  </si>
  <si>
    <t>MUNEEB SAJID</t>
  </si>
  <si>
    <t>JAVED MEHMOOD</t>
  </si>
  <si>
    <t>HATEEM TAHIR</t>
  </si>
  <si>
    <t>ABDUL HASEEB</t>
  </si>
  <si>
    <t>ABDULLAH KHALID</t>
  </si>
  <si>
    <t>QANDEEL ASIM</t>
  </si>
  <si>
    <t>ALI HASSAN</t>
  </si>
  <si>
    <t>WISHAQ AKBAR</t>
  </si>
  <si>
    <t>HANZLA BHATTI</t>
  </si>
  <si>
    <t>LAIBA FATIMA</t>
  </si>
  <si>
    <t>M. ZAIN</t>
  </si>
  <si>
    <t>WALEED AMJAD</t>
  </si>
  <si>
    <t>MASOD BAKHTIYAR</t>
  </si>
  <si>
    <t>MAHAM NISAR</t>
  </si>
  <si>
    <t>M. HASHIR AFZAL</t>
  </si>
  <si>
    <t>B</t>
  </si>
  <si>
    <t>MOHID IMRAN</t>
  </si>
  <si>
    <t>MINAHIL BILAL</t>
  </si>
  <si>
    <t>Urva Zafar</t>
  </si>
  <si>
    <t>Shais Shaid</t>
  </si>
  <si>
    <t>Qadeesa</t>
  </si>
  <si>
    <t>Abdul-Rehman</t>
  </si>
  <si>
    <t>Faiza</t>
  </si>
  <si>
    <t>Javaria Khalid</t>
  </si>
  <si>
    <t>Inam-Ur-Rehman</t>
  </si>
  <si>
    <t>Hussnain Rashid</t>
  </si>
  <si>
    <t>M.Abdullah Nazir</t>
  </si>
  <si>
    <t>Zain Ali</t>
  </si>
  <si>
    <t>Kamran</t>
  </si>
  <si>
    <t>M.Hassan</t>
  </si>
  <si>
    <t>Rida Saeed</t>
  </si>
  <si>
    <t>Talha</t>
  </si>
  <si>
    <t>M.Ahmad</t>
  </si>
  <si>
    <t>Ahsan Rehman</t>
  </si>
  <si>
    <t>M.Saqlain</t>
  </si>
  <si>
    <t>M.Ali</t>
  </si>
  <si>
    <t>Ali Haider</t>
  </si>
  <si>
    <t>Hamna Arif</t>
  </si>
  <si>
    <t xml:space="preserve">Syed Ali Ijaz </t>
  </si>
  <si>
    <t>M.Abdullah</t>
  </si>
  <si>
    <t>Ahmad Abdullah</t>
  </si>
  <si>
    <t>Fizzah Mustafa</t>
  </si>
  <si>
    <t>Tehreem Fatima</t>
  </si>
  <si>
    <t>Fatima Sheraz</t>
  </si>
  <si>
    <t>Zunaria</t>
  </si>
  <si>
    <t xml:space="preserve">Awais </t>
  </si>
  <si>
    <t>Rabia</t>
  </si>
  <si>
    <t>Zainab</t>
  </si>
  <si>
    <t>Arfa</t>
  </si>
  <si>
    <t>2023-BS-AI-129</t>
  </si>
  <si>
    <t>2023-BS-AI-133</t>
  </si>
  <si>
    <t>2023-BS-AI-134</t>
  </si>
  <si>
    <t>2023-BS-AI-135</t>
  </si>
  <si>
    <t>2023-BS-AI-141</t>
  </si>
  <si>
    <t>2023-BS-AI-144</t>
  </si>
  <si>
    <t>2023-BS-AI-145</t>
  </si>
  <si>
    <t>2023-BS-AI-146</t>
  </si>
  <si>
    <t>2023-BS-AI-147</t>
  </si>
  <si>
    <t>2023-BS-AI-148</t>
  </si>
  <si>
    <t>2023-BS-AI-149</t>
  </si>
  <si>
    <t>2023-BS-AI-150</t>
  </si>
  <si>
    <t>2023-BS-AI-151</t>
  </si>
  <si>
    <t>2023-BS-AI-152</t>
  </si>
  <si>
    <t>2023-BS-AI-153</t>
  </si>
  <si>
    <t>2023-BS-AI-159</t>
  </si>
  <si>
    <t>2023-BS-AI-162</t>
  </si>
  <si>
    <t>2023-BS-AI-163</t>
  </si>
  <si>
    <t>2023-BS-AI-166</t>
  </si>
  <si>
    <t>2023-BS-AI-167</t>
  </si>
  <si>
    <t>2023-BS-AI-170</t>
  </si>
  <si>
    <t>2023-BS-AI-171</t>
  </si>
  <si>
    <t>2023-BS-AI-172</t>
  </si>
  <si>
    <t>2023-BS-AI-173</t>
  </si>
  <si>
    <t>2023-BS-AI-176</t>
  </si>
  <si>
    <t>2023-BS-AI-177</t>
  </si>
  <si>
    <t>2023-BS-AI-178</t>
  </si>
  <si>
    <t>2023-BS-AI-181</t>
  </si>
  <si>
    <t>2023-BS-AI-182</t>
  </si>
  <si>
    <t>2023-BS-AI-183</t>
  </si>
  <si>
    <t>2023-BS-AI-185</t>
  </si>
  <si>
    <t>C</t>
  </si>
  <si>
    <t>Noor Fatima</t>
  </si>
  <si>
    <t>Marwa</t>
  </si>
  <si>
    <t>Raheem Shahid</t>
  </si>
  <si>
    <t>Usman Saleem</t>
  </si>
  <si>
    <t>Mehrooz Tahir</t>
  </si>
  <si>
    <t>Maryam Fatima</t>
  </si>
  <si>
    <t>Zainab Qayyum</t>
  </si>
  <si>
    <t>Waqar Haider</t>
  </si>
  <si>
    <t>Uswa Fatima</t>
  </si>
  <si>
    <t>Hamna Shahzad</t>
  </si>
  <si>
    <t>MUHAMMAD HAMMAD AHMAD Shad</t>
  </si>
  <si>
    <t>DANIYAL HUSSAIN</t>
  </si>
  <si>
    <t>MUHAMMAD NOUMAN KHALID</t>
  </si>
  <si>
    <t>ZIYAN EHSAN</t>
  </si>
  <si>
    <t>MALAIKA SARFRAZ AHMED</t>
  </si>
  <si>
    <t>LAIBA TANVEER</t>
  </si>
  <si>
    <t>AIMAN</t>
  </si>
  <si>
    <t>USHNA BATOOL</t>
  </si>
  <si>
    <t>ABDULLAH ARIF</t>
  </si>
  <si>
    <t>MUHAMMAD ZOHAIB</t>
  </si>
  <si>
    <t>HAFIZA HOORIA ZAHOOR</t>
  </si>
  <si>
    <t>ABDULLAH AZHAR</t>
  </si>
  <si>
    <t>MUZAMMAL SHEHZAD</t>
  </si>
  <si>
    <t>SAAD HASSAN ABBASI</t>
  </si>
  <si>
    <t>MOHAMMAD SAUD</t>
  </si>
  <si>
    <t>Aiman</t>
  </si>
  <si>
    <t>Maryam Saif</t>
  </si>
  <si>
    <r>
      <rPr>
        <sz val="11"/>
        <rFont val="Arial MT"/>
        <family val="2"/>
      </rPr>
      <t>HASSAN SHAHBAZ</t>
    </r>
  </si>
  <si>
    <r>
      <rPr>
        <sz val="11"/>
        <rFont val="Arial MT"/>
        <family val="2"/>
      </rPr>
      <t>ABDUL REHMAN</t>
    </r>
  </si>
  <si>
    <r>
      <rPr>
        <sz val="11"/>
        <rFont val="Arial MT"/>
        <family val="2"/>
      </rPr>
      <t>ASAD ULLAH SHAFIQUE</t>
    </r>
  </si>
  <si>
    <r>
      <rPr>
        <sz val="11"/>
        <rFont val="Arial MT"/>
        <family val="2"/>
      </rPr>
      <t>AHTISHAM AKRAM</t>
    </r>
  </si>
  <si>
    <r>
      <rPr>
        <sz val="11"/>
        <rFont val="Arial MT"/>
        <family val="2"/>
      </rPr>
      <t>MOAZAM UR REHMAN</t>
    </r>
  </si>
  <si>
    <r>
      <rPr>
        <sz val="11"/>
        <rFont val="Arial MT"/>
        <family val="2"/>
      </rPr>
      <t>MUHAMMAD ABDULLAH MEHFOOZ</t>
    </r>
  </si>
  <si>
    <r>
      <rPr>
        <sz val="11"/>
        <rFont val="Arial MT"/>
        <family val="2"/>
      </rPr>
      <t>LAIBA MURTAZA</t>
    </r>
  </si>
  <si>
    <r>
      <rPr>
        <sz val="11"/>
        <rFont val="Arial MT"/>
        <family val="2"/>
      </rPr>
      <t>USAMA IFTIKHAR</t>
    </r>
  </si>
  <si>
    <r>
      <rPr>
        <sz val="11"/>
        <rFont val="Arial MT"/>
        <family val="2"/>
      </rPr>
      <t>ABDUL MANAN TANVEER</t>
    </r>
  </si>
  <si>
    <r>
      <rPr>
        <sz val="11"/>
        <rFont val="Arial MT"/>
        <family val="2"/>
      </rPr>
      <t>MUHAMMAD HASSAN</t>
    </r>
  </si>
  <si>
    <r>
      <rPr>
        <sz val="11"/>
        <rFont val="Arial MT"/>
        <family val="2"/>
      </rPr>
      <t>RIHAB AHMED</t>
    </r>
  </si>
  <si>
    <r>
      <rPr>
        <sz val="11"/>
        <rFont val="Arial MT"/>
        <family val="2"/>
      </rPr>
      <t>MUHAMMAD SAAD</t>
    </r>
  </si>
  <si>
    <r>
      <rPr>
        <sz val="11"/>
        <rFont val="Arial MT"/>
        <family val="2"/>
      </rPr>
      <t>HAZIQ MUSTAFA</t>
    </r>
  </si>
  <si>
    <r>
      <rPr>
        <sz val="11"/>
        <rFont val="Arial MT"/>
        <family val="2"/>
      </rPr>
      <t>ALEEHA ASIF</t>
    </r>
  </si>
  <si>
    <r>
      <rPr>
        <sz val="11"/>
        <rFont val="Arial MT"/>
        <family val="2"/>
      </rPr>
      <t>DANIYAL AHMAD</t>
    </r>
  </si>
  <si>
    <r>
      <rPr>
        <sz val="11"/>
        <rFont val="Arial MT"/>
        <family val="2"/>
      </rPr>
      <t>LAIBA JAWAD</t>
    </r>
  </si>
  <si>
    <t>Ass#1</t>
  </si>
  <si>
    <t>Ass#2</t>
  </si>
  <si>
    <t>Ass#3</t>
  </si>
  <si>
    <t>Ass#4</t>
  </si>
  <si>
    <t>Quiz#1</t>
  </si>
  <si>
    <t>Quiz#2</t>
  </si>
  <si>
    <t>Total Assignment</t>
  </si>
  <si>
    <t>Total Quiz</t>
  </si>
  <si>
    <t>Sessional</t>
  </si>
  <si>
    <t>Mids</t>
  </si>
  <si>
    <t>Final</t>
  </si>
  <si>
    <t>2023-BS-AI-090</t>
  </si>
  <si>
    <t>Taha Rehman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</si>
</sst>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1"/>
      <name val="Arial MT"/>
    </font>
    <font>
      <sz val="11"/>
      <name val="Arial MT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6" fillId="0" borderId="1" xfId="1" applyFont="1" applyBorder="1" applyAlignment="1">
      <alignment horizontal="left" vertical="top" wrapText="1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8" fillId="0" borderId="1" xfId="1" applyFont="1" applyBorder="1" applyAlignment="1">
      <alignment horizontal="left" vertical="top" wrapText="1"/>
    </xf>
    <xf numFmtId="0" fontId="9" fillId="0" borderId="1" xfId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/>
    </xf>
  </cellXfs>
  <cellStyles count="2">
    <cellStyle name="Normal" xfId="0" builtinId="0"/>
    <cellStyle name="Normal 2" xfId="1" xr:uid="{26AABD8C-95B6-4F3B-9A75-585ED0058E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3020-29ED-476F-AB34-384F93E1EB4F}">
  <dimension ref="A1:S122"/>
  <sheetViews>
    <sheetView tabSelected="1" zoomScale="85" zoomScaleNormal="85" workbookViewId="0">
      <selection activeCell="Q111" sqref="Q111"/>
    </sheetView>
  </sheetViews>
  <sheetFormatPr defaultRowHeight="14.5"/>
  <cols>
    <col min="1" max="1" width="5.453125" bestFit="1" customWidth="1"/>
    <col min="2" max="2" width="18.453125" customWidth="1"/>
    <col min="3" max="3" width="7.81640625" hidden="1" customWidth="1"/>
    <col min="4" max="4" width="6.90625" bestFit="1" customWidth="1"/>
    <col min="5" max="5" width="35.36328125" hidden="1" customWidth="1"/>
    <col min="6" max="6" width="27.6328125" customWidth="1"/>
    <col min="7" max="7" width="12.453125" hidden="1" customWidth="1"/>
    <col min="8" max="10" width="5.6328125" bestFit="1" customWidth="1"/>
    <col min="11" max="11" width="3.81640625" hidden="1" customWidth="1"/>
    <col min="12" max="12" width="5.6328125" bestFit="1" customWidth="1"/>
    <col min="13" max="14" width="6.54296875" bestFit="1" customWidth="1"/>
    <col min="15" max="15" width="15.1796875" bestFit="1" customWidth="1"/>
    <col min="16" max="16" width="9.1796875" bestFit="1" customWidth="1"/>
    <col min="17" max="17" width="8.453125" bestFit="1" customWidth="1"/>
    <col min="18" max="18" width="4.90625" bestFit="1" customWidth="1"/>
    <col min="19" max="19" width="4.7265625" bestFit="1" customWidth="1"/>
  </cols>
  <sheetData>
    <row r="1" spans="1:19" ht="31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>
      <c r="A2" s="3" t="s">
        <v>2</v>
      </c>
      <c r="B2" s="10" t="s">
        <v>1</v>
      </c>
      <c r="C2" s="10"/>
      <c r="D2" s="3" t="s">
        <v>3</v>
      </c>
      <c r="E2" s="3" t="s">
        <v>8</v>
      </c>
      <c r="F2" s="3" t="s">
        <v>8</v>
      </c>
      <c r="G2" s="4"/>
      <c r="H2" s="4" t="s">
        <v>154</v>
      </c>
      <c r="I2" s="4" t="s">
        <v>155</v>
      </c>
      <c r="J2" s="4" t="s">
        <v>156</v>
      </c>
      <c r="K2" s="5">
        <v>3</v>
      </c>
      <c r="L2" s="4" t="s">
        <v>157</v>
      </c>
      <c r="M2" s="4" t="s">
        <v>158</v>
      </c>
      <c r="N2" s="4" t="s">
        <v>159</v>
      </c>
      <c r="O2" s="4" t="s">
        <v>160</v>
      </c>
      <c r="P2" s="4" t="s">
        <v>161</v>
      </c>
      <c r="Q2" s="4" t="s">
        <v>162</v>
      </c>
      <c r="R2" s="4" t="s">
        <v>163</v>
      </c>
      <c r="S2" s="4" t="s">
        <v>164</v>
      </c>
    </row>
    <row r="3" spans="1:19">
      <c r="A3" s="6">
        <v>1</v>
      </c>
      <c r="B3" s="4" t="str">
        <f>G3 &amp; K2</f>
        <v>2023-BS-AI-003</v>
      </c>
      <c r="C3" s="4"/>
      <c r="D3" s="4" t="s">
        <v>7</v>
      </c>
      <c r="E3" s="5" t="s">
        <v>9</v>
      </c>
      <c r="F3" s="4" t="str">
        <f>PROPER(LEFT(E3,FIND(" ",E3)-1)) &amp; " " &amp; PROPER(MID(E3,FIND(" ",E3)+1,LEN(E3)))</f>
        <v>Zoomer Faiz</v>
      </c>
      <c r="G3" s="4" t="s">
        <v>6</v>
      </c>
      <c r="H3" s="4"/>
      <c r="I3" s="4"/>
      <c r="J3" s="4"/>
      <c r="K3" s="5">
        <v>4</v>
      </c>
      <c r="L3" s="4"/>
      <c r="M3" s="4"/>
      <c r="N3" s="4"/>
      <c r="O3" s="4"/>
      <c r="P3" s="4"/>
      <c r="Q3" s="4"/>
      <c r="R3" s="4"/>
      <c r="S3" s="4"/>
    </row>
    <row r="4" spans="1:19">
      <c r="A4" s="6">
        <f>A3+1</f>
        <v>2</v>
      </c>
      <c r="B4" s="4" t="str">
        <f t="shared" ref="B4:B26" si="0">G4 &amp; K3</f>
        <v>2023-BS-AI-004</v>
      </c>
      <c r="C4" s="4"/>
      <c r="D4" s="4" t="s">
        <v>7</v>
      </c>
      <c r="E4" s="5" t="s">
        <v>10</v>
      </c>
      <c r="F4" s="4" t="str">
        <f t="shared" ref="F4:F44" si="1">PROPER(LEFT(E4,FIND(" ",E4)-1)) &amp; " " &amp; PROPER(MID(E4,FIND(" ",E4)+1,LEN(E4)))</f>
        <v>M. Hassan Tariq</v>
      </c>
      <c r="G4" s="4" t="s">
        <v>6</v>
      </c>
      <c r="H4" s="4"/>
      <c r="I4" s="4"/>
      <c r="J4" s="4"/>
      <c r="K4" s="5">
        <v>5</v>
      </c>
      <c r="L4" s="4"/>
      <c r="M4" s="4"/>
      <c r="N4" s="4"/>
      <c r="O4" s="4"/>
      <c r="P4" s="4"/>
      <c r="Q4" s="4"/>
      <c r="R4" s="4"/>
      <c r="S4" s="4"/>
    </row>
    <row r="5" spans="1:19">
      <c r="A5" s="6">
        <f t="shared" ref="A5:A69" si="2">A4+1</f>
        <v>3</v>
      </c>
      <c r="B5" s="4" t="str">
        <f t="shared" si="0"/>
        <v>2023-BS-AI-005</v>
      </c>
      <c r="C5" s="4"/>
      <c r="D5" s="4" t="s">
        <v>7</v>
      </c>
      <c r="E5" s="5" t="s">
        <v>11</v>
      </c>
      <c r="F5" s="4" t="str">
        <f t="shared" si="1"/>
        <v>Hamza Rizwan</v>
      </c>
      <c r="G5" s="4" t="s">
        <v>6</v>
      </c>
      <c r="H5" s="4"/>
      <c r="I5" s="4"/>
      <c r="J5" s="4"/>
      <c r="K5" s="5">
        <v>6</v>
      </c>
      <c r="L5" s="4"/>
      <c r="M5" s="4"/>
      <c r="N5" s="4"/>
      <c r="O5" s="4"/>
      <c r="P5" s="4"/>
      <c r="Q5" s="4"/>
      <c r="R5" s="4"/>
      <c r="S5" s="4"/>
    </row>
    <row r="6" spans="1:19">
      <c r="A6" s="6">
        <f t="shared" si="2"/>
        <v>4</v>
      </c>
      <c r="B6" s="4" t="str">
        <f t="shared" si="0"/>
        <v>2023-BS-AI-006</v>
      </c>
      <c r="C6" s="4"/>
      <c r="D6" s="4" t="s">
        <v>7</v>
      </c>
      <c r="E6" s="5" t="s">
        <v>12</v>
      </c>
      <c r="F6" s="4" t="str">
        <f t="shared" si="1"/>
        <v>Zubair Khan</v>
      </c>
      <c r="G6" s="4" t="s">
        <v>6</v>
      </c>
      <c r="H6" s="4"/>
      <c r="I6" s="4"/>
      <c r="J6" s="4"/>
      <c r="K6" s="5">
        <v>7</v>
      </c>
      <c r="L6" s="4"/>
      <c r="M6" s="4"/>
      <c r="N6" s="4"/>
      <c r="O6" s="4"/>
      <c r="P6" s="4"/>
      <c r="Q6" s="4"/>
      <c r="R6" s="4"/>
      <c r="S6" s="4"/>
    </row>
    <row r="7" spans="1:19">
      <c r="A7" s="6">
        <f t="shared" si="2"/>
        <v>5</v>
      </c>
      <c r="B7" s="4" t="str">
        <f t="shared" si="0"/>
        <v>2023-BS-AI-007</v>
      </c>
      <c r="C7" s="4"/>
      <c r="D7" s="4" t="s">
        <v>7</v>
      </c>
      <c r="E7" s="5" t="s">
        <v>13</v>
      </c>
      <c r="F7" s="4" t="str">
        <f t="shared" si="1"/>
        <v>Wahaj Mirza</v>
      </c>
      <c r="G7" s="4" t="s">
        <v>6</v>
      </c>
      <c r="H7" s="4"/>
      <c r="I7" s="4"/>
      <c r="J7" s="4"/>
      <c r="K7" s="5">
        <v>8</v>
      </c>
      <c r="L7" s="4"/>
      <c r="M7" s="4"/>
      <c r="N7" s="4"/>
      <c r="O7" s="4"/>
      <c r="P7" s="4"/>
      <c r="Q7" s="4"/>
      <c r="R7" s="4"/>
      <c r="S7" s="4"/>
    </row>
    <row r="8" spans="1:19">
      <c r="A8" s="6">
        <f t="shared" si="2"/>
        <v>6</v>
      </c>
      <c r="B8" s="4" t="str">
        <f t="shared" si="0"/>
        <v>2023-BS-AI-008</v>
      </c>
      <c r="C8" s="4"/>
      <c r="D8" s="4" t="s">
        <v>7</v>
      </c>
      <c r="E8" s="5" t="s">
        <v>14</v>
      </c>
      <c r="F8" s="4" t="str">
        <f t="shared" si="1"/>
        <v>M. Muqaddas</v>
      </c>
      <c r="G8" s="4" t="s">
        <v>6</v>
      </c>
      <c r="H8" s="4"/>
      <c r="I8" s="4"/>
      <c r="J8" s="4"/>
      <c r="K8" s="5">
        <v>11</v>
      </c>
      <c r="L8" s="4"/>
      <c r="M8" s="4"/>
      <c r="N8" s="4"/>
      <c r="O8" s="4"/>
      <c r="P8" s="4"/>
      <c r="Q8" s="4"/>
      <c r="R8" s="4"/>
      <c r="S8" s="4"/>
    </row>
    <row r="9" spans="1:19">
      <c r="A9" s="6">
        <f t="shared" si="2"/>
        <v>7</v>
      </c>
      <c r="B9" s="4" t="str">
        <f t="shared" si="0"/>
        <v>2023-BS-AI-011</v>
      </c>
      <c r="C9" s="4"/>
      <c r="D9" s="4" t="s">
        <v>7</v>
      </c>
      <c r="E9" s="5" t="s">
        <v>15</v>
      </c>
      <c r="F9" s="4" t="str">
        <f t="shared" si="1"/>
        <v>Ayesha Imran</v>
      </c>
      <c r="G9" s="4" t="s">
        <v>5</v>
      </c>
      <c r="H9" s="4"/>
      <c r="I9" s="4"/>
      <c r="J9" s="4"/>
      <c r="K9" s="5">
        <v>13</v>
      </c>
      <c r="L9" s="4"/>
      <c r="M9" s="4"/>
      <c r="N9" s="4"/>
      <c r="O9" s="4"/>
      <c r="P9" s="4"/>
      <c r="Q9" s="4"/>
      <c r="R9" s="4"/>
      <c r="S9" s="4"/>
    </row>
    <row r="10" spans="1:19">
      <c r="A10" s="6">
        <f t="shared" si="2"/>
        <v>8</v>
      </c>
      <c r="B10" s="4" t="str">
        <f t="shared" si="0"/>
        <v>2023-BS-AI-013</v>
      </c>
      <c r="C10" s="4"/>
      <c r="D10" s="4" t="s">
        <v>7</v>
      </c>
      <c r="E10" s="5" t="s">
        <v>16</v>
      </c>
      <c r="F10" s="4" t="str">
        <f t="shared" si="1"/>
        <v>Seemal Mustafa</v>
      </c>
      <c r="G10" s="4" t="s">
        <v>5</v>
      </c>
      <c r="H10" s="4"/>
      <c r="I10" s="4"/>
      <c r="J10" s="4"/>
      <c r="K10" s="5">
        <v>15</v>
      </c>
      <c r="L10" s="4"/>
      <c r="M10" s="4"/>
      <c r="N10" s="4"/>
      <c r="O10" s="4"/>
      <c r="P10" s="4"/>
      <c r="Q10" s="4"/>
      <c r="R10" s="4"/>
      <c r="S10" s="4"/>
    </row>
    <row r="11" spans="1:19">
      <c r="A11" s="6">
        <f t="shared" si="2"/>
        <v>9</v>
      </c>
      <c r="B11" s="4" t="str">
        <f t="shared" si="0"/>
        <v>2023-BS-AI-015</v>
      </c>
      <c r="C11" s="4"/>
      <c r="D11" s="4" t="s">
        <v>7</v>
      </c>
      <c r="E11" s="5" t="s">
        <v>17</v>
      </c>
      <c r="F11" s="4" t="str">
        <f t="shared" si="1"/>
        <v>Eman Tahir</v>
      </c>
      <c r="G11" s="4" t="s">
        <v>5</v>
      </c>
      <c r="H11" s="4"/>
      <c r="I11" s="4"/>
      <c r="J11" s="4"/>
      <c r="K11" s="5">
        <v>16</v>
      </c>
      <c r="L11" s="4"/>
      <c r="M11" s="4"/>
      <c r="N11" s="4"/>
      <c r="O11" s="4"/>
      <c r="P11" s="4"/>
      <c r="Q11" s="4"/>
      <c r="R11" s="4"/>
      <c r="S11" s="4"/>
    </row>
    <row r="12" spans="1:19">
      <c r="A12" s="6">
        <f t="shared" si="2"/>
        <v>10</v>
      </c>
      <c r="B12" s="4" t="str">
        <f t="shared" si="0"/>
        <v>2023-BS-AI-016</v>
      </c>
      <c r="C12" s="4"/>
      <c r="D12" s="4" t="s">
        <v>7</v>
      </c>
      <c r="E12" s="5" t="s">
        <v>18</v>
      </c>
      <c r="F12" s="4" t="str">
        <f t="shared" si="1"/>
        <v>M. Ahmed</v>
      </c>
      <c r="G12" s="4" t="s">
        <v>5</v>
      </c>
      <c r="H12" s="4"/>
      <c r="I12" s="4"/>
      <c r="J12" s="4"/>
      <c r="K12" s="5">
        <v>17</v>
      </c>
      <c r="L12" s="4"/>
      <c r="M12" s="4"/>
      <c r="N12" s="4"/>
      <c r="O12" s="4"/>
      <c r="P12" s="4"/>
      <c r="Q12" s="4"/>
      <c r="R12" s="4"/>
      <c r="S12" s="4"/>
    </row>
    <row r="13" spans="1:19">
      <c r="A13" s="6">
        <f t="shared" si="2"/>
        <v>11</v>
      </c>
      <c r="B13" s="4" t="str">
        <f t="shared" si="0"/>
        <v>2023-BS-AI-017</v>
      </c>
      <c r="C13" s="4"/>
      <c r="D13" s="4" t="s">
        <v>7</v>
      </c>
      <c r="E13" s="5" t="s">
        <v>19</v>
      </c>
      <c r="F13" s="4" t="str">
        <f t="shared" si="1"/>
        <v>Humna Imran</v>
      </c>
      <c r="G13" s="4" t="s">
        <v>5</v>
      </c>
      <c r="H13" s="4"/>
      <c r="I13" s="4"/>
      <c r="J13" s="4"/>
      <c r="K13" s="5">
        <v>18</v>
      </c>
      <c r="L13" s="4"/>
      <c r="M13" s="4"/>
      <c r="N13" s="4"/>
      <c r="O13" s="4"/>
      <c r="P13" s="4"/>
      <c r="Q13" s="4"/>
      <c r="R13" s="4"/>
      <c r="S13" s="4"/>
    </row>
    <row r="14" spans="1:19">
      <c r="A14" s="6">
        <f t="shared" si="2"/>
        <v>12</v>
      </c>
      <c r="B14" s="4" t="str">
        <f t="shared" si="0"/>
        <v>2023-BS-AI-018</v>
      </c>
      <c r="C14" s="4"/>
      <c r="D14" s="4" t="s">
        <v>7</v>
      </c>
      <c r="E14" s="5" t="s">
        <v>20</v>
      </c>
      <c r="F14" s="4" t="str">
        <f t="shared" si="1"/>
        <v>Huzaifa Rizwan</v>
      </c>
      <c r="G14" s="4" t="s">
        <v>5</v>
      </c>
      <c r="H14" s="4"/>
      <c r="I14" s="4"/>
      <c r="J14" s="4"/>
      <c r="K14" s="5">
        <v>19</v>
      </c>
      <c r="L14" s="4"/>
      <c r="M14" s="4"/>
      <c r="N14" s="4"/>
      <c r="O14" s="4"/>
      <c r="P14" s="4"/>
      <c r="Q14" s="4"/>
      <c r="R14" s="4"/>
      <c r="S14" s="4"/>
    </row>
    <row r="15" spans="1:19">
      <c r="A15" s="6">
        <f t="shared" si="2"/>
        <v>13</v>
      </c>
      <c r="B15" s="4" t="str">
        <f t="shared" si="0"/>
        <v>2023-BS-AI-019</v>
      </c>
      <c r="C15" s="4"/>
      <c r="D15" s="4" t="s">
        <v>7</v>
      </c>
      <c r="E15" s="5" t="s">
        <v>21</v>
      </c>
      <c r="F15" s="4" t="str">
        <f t="shared" si="1"/>
        <v>M.Tayyab Imran</v>
      </c>
      <c r="G15" s="4" t="s">
        <v>5</v>
      </c>
      <c r="H15" s="4"/>
      <c r="I15" s="4"/>
      <c r="J15" s="4"/>
      <c r="K15" s="5">
        <v>20</v>
      </c>
      <c r="L15" s="4"/>
      <c r="M15" s="4"/>
      <c r="N15" s="4"/>
      <c r="O15" s="4"/>
      <c r="P15" s="4"/>
      <c r="Q15" s="4"/>
      <c r="R15" s="4"/>
      <c r="S15" s="4"/>
    </row>
    <row r="16" spans="1:19">
      <c r="A16" s="6">
        <f t="shared" si="2"/>
        <v>14</v>
      </c>
      <c r="B16" s="4" t="str">
        <f t="shared" si="0"/>
        <v>2023-BS-AI-020</v>
      </c>
      <c r="C16" s="4"/>
      <c r="D16" s="4" t="s">
        <v>7</v>
      </c>
      <c r="E16" s="5" t="s">
        <v>22</v>
      </c>
      <c r="F16" s="4" t="str">
        <f t="shared" si="1"/>
        <v>Mishal Nadeem</v>
      </c>
      <c r="G16" s="4" t="s">
        <v>5</v>
      </c>
      <c r="H16" s="4"/>
      <c r="I16" s="4"/>
      <c r="J16" s="4"/>
      <c r="K16" s="5">
        <v>21</v>
      </c>
      <c r="L16" s="4"/>
      <c r="M16" s="4"/>
      <c r="N16" s="4"/>
      <c r="O16" s="4"/>
      <c r="P16" s="4"/>
      <c r="Q16" s="4"/>
      <c r="R16" s="4"/>
      <c r="S16" s="4"/>
    </row>
    <row r="17" spans="1:19">
      <c r="A17" s="6">
        <f t="shared" si="2"/>
        <v>15</v>
      </c>
      <c r="B17" s="4" t="str">
        <f t="shared" si="0"/>
        <v>2023-BS-AI-021</v>
      </c>
      <c r="C17" s="4"/>
      <c r="D17" s="4" t="s">
        <v>7</v>
      </c>
      <c r="E17" s="5" t="s">
        <v>23</v>
      </c>
      <c r="F17" s="4" t="str">
        <f t="shared" si="1"/>
        <v>Yumna Irfan</v>
      </c>
      <c r="G17" s="4" t="s">
        <v>5</v>
      </c>
      <c r="H17" s="4"/>
      <c r="I17" s="4"/>
      <c r="J17" s="4"/>
      <c r="K17" s="5">
        <v>22</v>
      </c>
      <c r="L17" s="4"/>
      <c r="M17" s="4"/>
      <c r="N17" s="4"/>
      <c r="O17" s="4"/>
      <c r="P17" s="4"/>
      <c r="Q17" s="4"/>
      <c r="R17" s="4"/>
      <c r="S17" s="4"/>
    </row>
    <row r="18" spans="1:19">
      <c r="A18" s="6">
        <f t="shared" si="2"/>
        <v>16</v>
      </c>
      <c r="B18" s="4" t="str">
        <f t="shared" si="0"/>
        <v>2023-BS-AI-022</v>
      </c>
      <c r="C18" s="4"/>
      <c r="D18" s="4" t="s">
        <v>7</v>
      </c>
      <c r="E18" s="5" t="s">
        <v>24</v>
      </c>
      <c r="F18" s="4" t="str">
        <f t="shared" si="1"/>
        <v>Abeer Awais</v>
      </c>
      <c r="G18" s="4" t="s">
        <v>5</v>
      </c>
      <c r="H18" s="4"/>
      <c r="I18" s="4"/>
      <c r="J18" s="4"/>
      <c r="K18" s="5">
        <v>23</v>
      </c>
      <c r="L18" s="4"/>
      <c r="M18" s="4"/>
      <c r="N18" s="4"/>
      <c r="O18" s="4"/>
      <c r="P18" s="4"/>
      <c r="Q18" s="4"/>
      <c r="R18" s="4"/>
      <c r="S18" s="4"/>
    </row>
    <row r="19" spans="1:19">
      <c r="A19" s="6">
        <f t="shared" si="2"/>
        <v>17</v>
      </c>
      <c r="B19" s="4" t="str">
        <f t="shared" si="0"/>
        <v>2023-BS-AI-023</v>
      </c>
      <c r="C19" s="4"/>
      <c r="D19" s="4" t="s">
        <v>7</v>
      </c>
      <c r="E19" s="5" t="s">
        <v>25</v>
      </c>
      <c r="F19" s="4" t="str">
        <f t="shared" si="1"/>
        <v>Haris Awan</v>
      </c>
      <c r="G19" s="4" t="s">
        <v>5</v>
      </c>
      <c r="H19" s="4"/>
      <c r="I19" s="4"/>
      <c r="J19" s="4"/>
      <c r="K19" s="5">
        <v>24</v>
      </c>
      <c r="L19" s="4"/>
      <c r="M19" s="4"/>
      <c r="N19" s="4"/>
      <c r="O19" s="4"/>
      <c r="P19" s="4"/>
      <c r="Q19" s="4"/>
      <c r="R19" s="4"/>
      <c r="S19" s="4"/>
    </row>
    <row r="20" spans="1:19">
      <c r="A20" s="6">
        <f t="shared" si="2"/>
        <v>18</v>
      </c>
      <c r="B20" s="4" t="str">
        <f t="shared" si="0"/>
        <v>2023-BS-AI-024</v>
      </c>
      <c r="C20" s="4"/>
      <c r="D20" s="4" t="s">
        <v>7</v>
      </c>
      <c r="E20" s="5" t="s">
        <v>26</v>
      </c>
      <c r="F20" s="4" t="str">
        <f t="shared" si="1"/>
        <v>Tayyaba Shehbaz</v>
      </c>
      <c r="G20" s="4" t="s">
        <v>5</v>
      </c>
      <c r="H20" s="4"/>
      <c r="I20" s="4"/>
      <c r="J20" s="4"/>
      <c r="K20" s="5">
        <v>25</v>
      </c>
      <c r="L20" s="4"/>
      <c r="M20" s="4"/>
      <c r="N20" s="4"/>
      <c r="O20" s="4"/>
      <c r="P20" s="4"/>
      <c r="Q20" s="4"/>
      <c r="R20" s="4"/>
      <c r="S20" s="4"/>
    </row>
    <row r="21" spans="1:19">
      <c r="A21" s="6">
        <f t="shared" si="2"/>
        <v>19</v>
      </c>
      <c r="B21" s="4" t="str">
        <f t="shared" si="0"/>
        <v>2023-BS-AI-025</v>
      </c>
      <c r="C21" s="4"/>
      <c r="D21" s="4" t="s">
        <v>7</v>
      </c>
      <c r="E21" s="5" t="s">
        <v>27</v>
      </c>
      <c r="F21" s="4" t="str">
        <f t="shared" si="1"/>
        <v>Faisal Kamran</v>
      </c>
      <c r="G21" s="4" t="s">
        <v>5</v>
      </c>
      <c r="H21" s="4"/>
      <c r="I21" s="4"/>
      <c r="J21" s="4"/>
      <c r="K21" s="5">
        <v>26</v>
      </c>
      <c r="L21" s="4"/>
      <c r="M21" s="4"/>
      <c r="N21" s="4"/>
      <c r="O21" s="4"/>
      <c r="P21" s="4"/>
      <c r="Q21" s="4"/>
      <c r="R21" s="4"/>
      <c r="S21" s="4"/>
    </row>
    <row r="22" spans="1:19">
      <c r="A22" s="6">
        <f t="shared" si="2"/>
        <v>20</v>
      </c>
      <c r="B22" s="4" t="str">
        <f t="shared" si="0"/>
        <v>2023-BS-AI-026</v>
      </c>
      <c r="C22" s="4"/>
      <c r="D22" s="4" t="s">
        <v>7</v>
      </c>
      <c r="E22" s="5" t="s">
        <v>28</v>
      </c>
      <c r="F22" s="4" t="str">
        <f t="shared" si="1"/>
        <v>Tehreem Fatima</v>
      </c>
      <c r="G22" s="4" t="s">
        <v>5</v>
      </c>
      <c r="H22" s="4"/>
      <c r="I22" s="4"/>
      <c r="J22" s="4"/>
      <c r="K22" s="5">
        <v>27</v>
      </c>
      <c r="L22" s="4"/>
      <c r="M22" s="4"/>
      <c r="N22" s="4"/>
      <c r="O22" s="4"/>
      <c r="P22" s="4"/>
      <c r="Q22" s="4"/>
      <c r="R22" s="4"/>
      <c r="S22" s="4"/>
    </row>
    <row r="23" spans="1:19">
      <c r="A23" s="6">
        <f t="shared" si="2"/>
        <v>21</v>
      </c>
      <c r="B23" s="4" t="str">
        <f t="shared" si="0"/>
        <v>2023-BS-AI-027</v>
      </c>
      <c r="C23" s="4"/>
      <c r="D23" s="4" t="s">
        <v>7</v>
      </c>
      <c r="E23" s="5" t="s">
        <v>29</v>
      </c>
      <c r="F23" s="4" t="str">
        <f t="shared" si="1"/>
        <v>Amna Shehzad</v>
      </c>
      <c r="G23" s="4" t="s">
        <v>5</v>
      </c>
      <c r="H23" s="4"/>
      <c r="I23" s="4"/>
      <c r="J23" s="4"/>
      <c r="K23" s="5">
        <v>28</v>
      </c>
      <c r="L23" s="4"/>
      <c r="M23" s="4"/>
      <c r="N23" s="4"/>
      <c r="O23" s="4"/>
      <c r="P23" s="4"/>
      <c r="Q23" s="4"/>
      <c r="R23" s="4"/>
      <c r="S23" s="4"/>
    </row>
    <row r="24" spans="1:19">
      <c r="A24" s="6">
        <f t="shared" si="2"/>
        <v>22</v>
      </c>
      <c r="B24" s="4" t="str">
        <f t="shared" si="0"/>
        <v>2023-BS-AI-028</v>
      </c>
      <c r="C24" s="4"/>
      <c r="D24" s="4" t="s">
        <v>7</v>
      </c>
      <c r="E24" s="5" t="s">
        <v>30</v>
      </c>
      <c r="F24" s="4" t="str">
        <f t="shared" si="1"/>
        <v>Muneeb Sajid</v>
      </c>
      <c r="G24" s="4" t="s">
        <v>5</v>
      </c>
      <c r="H24" s="4"/>
      <c r="I24" s="4"/>
      <c r="J24" s="4"/>
      <c r="K24" s="5">
        <v>29</v>
      </c>
      <c r="L24" s="4"/>
      <c r="M24" s="4"/>
      <c r="N24" s="4"/>
      <c r="O24" s="4"/>
      <c r="P24" s="4"/>
      <c r="Q24" s="4"/>
      <c r="R24" s="4"/>
      <c r="S24" s="4"/>
    </row>
    <row r="25" spans="1:19">
      <c r="A25" s="6">
        <f t="shared" si="2"/>
        <v>23</v>
      </c>
      <c r="B25" s="4" t="str">
        <f t="shared" si="0"/>
        <v>2023-BS-AI-029</v>
      </c>
      <c r="C25" s="4"/>
      <c r="D25" s="4" t="s">
        <v>7</v>
      </c>
      <c r="E25" s="5" t="s">
        <v>31</v>
      </c>
      <c r="F25" s="4" t="str">
        <f t="shared" si="1"/>
        <v>Javed Mehmood</v>
      </c>
      <c r="G25" s="4" t="s">
        <v>5</v>
      </c>
      <c r="H25" s="4"/>
      <c r="I25" s="4"/>
      <c r="J25" s="4"/>
      <c r="K25" s="5">
        <v>32</v>
      </c>
      <c r="L25" s="4"/>
      <c r="M25" s="4"/>
      <c r="N25" s="4"/>
      <c r="O25" s="4"/>
      <c r="P25" s="4"/>
      <c r="Q25" s="4"/>
      <c r="R25" s="4"/>
      <c r="S25" s="4"/>
    </row>
    <row r="26" spans="1:19">
      <c r="A26" s="6">
        <f t="shared" si="2"/>
        <v>24</v>
      </c>
      <c r="B26" s="4" t="str">
        <f t="shared" si="0"/>
        <v>2023-BS-AI-032</v>
      </c>
      <c r="C26" s="4"/>
      <c r="D26" s="4" t="s">
        <v>7</v>
      </c>
      <c r="E26" s="5" t="s">
        <v>32</v>
      </c>
      <c r="F26" s="4" t="str">
        <f t="shared" si="1"/>
        <v>Hateem Tahir</v>
      </c>
      <c r="G26" s="4" t="s">
        <v>5</v>
      </c>
      <c r="H26" s="4"/>
      <c r="I26" s="4"/>
      <c r="J26" s="4"/>
      <c r="K26" s="5">
        <v>33</v>
      </c>
      <c r="L26" s="4"/>
      <c r="M26" s="4"/>
      <c r="N26" s="4"/>
      <c r="O26" s="4"/>
      <c r="P26" s="4"/>
      <c r="Q26" s="4"/>
      <c r="R26" s="4"/>
      <c r="S26" s="4"/>
    </row>
    <row r="27" spans="1:19">
      <c r="A27" s="6">
        <f t="shared" si="2"/>
        <v>25</v>
      </c>
      <c r="B27" s="4" t="str">
        <f>G27 &amp; K26</f>
        <v>2023-BS-AI-033</v>
      </c>
      <c r="C27" s="4"/>
      <c r="D27" s="4" t="s">
        <v>7</v>
      </c>
      <c r="E27" s="5" t="s">
        <v>33</v>
      </c>
      <c r="F27" s="4" t="str">
        <f t="shared" si="1"/>
        <v>Abdul Haseeb</v>
      </c>
      <c r="G27" s="4" t="s">
        <v>5</v>
      </c>
      <c r="H27" s="4"/>
      <c r="I27" s="4"/>
      <c r="J27" s="4"/>
      <c r="K27" s="5">
        <v>34</v>
      </c>
      <c r="L27" s="4"/>
      <c r="M27" s="4"/>
      <c r="N27" s="4"/>
      <c r="O27" s="4"/>
      <c r="P27" s="4"/>
      <c r="Q27" s="4"/>
      <c r="R27" s="4"/>
      <c r="S27" s="4"/>
    </row>
    <row r="28" spans="1:19">
      <c r="A28" s="6">
        <f>A27+1</f>
        <v>26</v>
      </c>
      <c r="B28" s="4" t="str">
        <f>G28 &amp; K27</f>
        <v>2023-BS-AI-034</v>
      </c>
      <c r="C28" s="4"/>
      <c r="D28" s="4" t="s">
        <v>45</v>
      </c>
      <c r="E28" s="5" t="s">
        <v>46</v>
      </c>
      <c r="F28" s="4" t="str">
        <f t="shared" si="1"/>
        <v>Mohid Imran</v>
      </c>
      <c r="G28" s="4" t="s">
        <v>5</v>
      </c>
      <c r="H28" s="4"/>
      <c r="I28" s="4"/>
      <c r="J28" s="4"/>
      <c r="K28" s="5">
        <v>35</v>
      </c>
      <c r="L28" s="4"/>
      <c r="M28" s="4"/>
      <c r="N28" s="4"/>
      <c r="O28" s="4"/>
      <c r="P28" s="4"/>
      <c r="Q28" s="4"/>
      <c r="R28" s="4"/>
      <c r="S28" s="4"/>
    </row>
    <row r="29" spans="1:19">
      <c r="A29" s="6">
        <f t="shared" si="2"/>
        <v>27</v>
      </c>
      <c r="B29" s="4" t="str">
        <f>G28 &amp; K28</f>
        <v>2023-BS-AI-035</v>
      </c>
      <c r="C29" s="4"/>
      <c r="D29" s="4" t="s">
        <v>7</v>
      </c>
      <c r="E29" s="5" t="s">
        <v>34</v>
      </c>
      <c r="F29" s="4" t="str">
        <f t="shared" si="1"/>
        <v>Abdullah Khalid</v>
      </c>
      <c r="G29" s="4" t="s">
        <v>5</v>
      </c>
      <c r="H29" s="4"/>
      <c r="I29" s="4"/>
      <c r="J29" s="4"/>
      <c r="K29" s="5">
        <v>36</v>
      </c>
      <c r="L29" s="4"/>
      <c r="M29" s="4"/>
      <c r="N29" s="4"/>
      <c r="O29" s="4"/>
      <c r="P29" s="4"/>
      <c r="Q29" s="4"/>
      <c r="R29" s="4"/>
      <c r="S29" s="4"/>
    </row>
    <row r="30" spans="1:19">
      <c r="A30" s="6">
        <f t="shared" si="2"/>
        <v>28</v>
      </c>
      <c r="B30" s="4" t="str">
        <f>G29 &amp; K29</f>
        <v>2023-BS-AI-036</v>
      </c>
      <c r="C30" s="4"/>
      <c r="D30" s="4" t="s">
        <v>110</v>
      </c>
      <c r="E30" s="5"/>
      <c r="F30" s="4" t="s">
        <v>111</v>
      </c>
      <c r="G30" s="4" t="s">
        <v>5</v>
      </c>
      <c r="H30" s="4"/>
      <c r="I30" s="4"/>
      <c r="J30" s="4"/>
      <c r="K30" s="5">
        <v>37</v>
      </c>
      <c r="L30" s="4"/>
      <c r="M30" s="4"/>
      <c r="N30" s="4"/>
      <c r="O30" s="4"/>
      <c r="P30" s="4"/>
      <c r="Q30" s="4"/>
      <c r="R30" s="4"/>
      <c r="S30" s="4"/>
    </row>
    <row r="31" spans="1:19">
      <c r="A31" s="6">
        <f t="shared" si="2"/>
        <v>29</v>
      </c>
      <c r="B31" s="4" t="str">
        <f>G29 &amp; K30</f>
        <v>2023-BS-AI-037</v>
      </c>
      <c r="C31" s="4"/>
      <c r="D31" s="4" t="s">
        <v>7</v>
      </c>
      <c r="E31" s="5" t="s">
        <v>35</v>
      </c>
      <c r="F31" s="4" t="str">
        <f t="shared" si="1"/>
        <v>Qandeel Asim</v>
      </c>
      <c r="G31" s="4" t="s">
        <v>5</v>
      </c>
      <c r="H31" s="4"/>
      <c r="I31" s="4"/>
      <c r="J31" s="4"/>
      <c r="K31" s="5">
        <v>38</v>
      </c>
      <c r="L31" s="4"/>
      <c r="M31" s="4"/>
      <c r="N31" s="4"/>
      <c r="O31" s="4"/>
      <c r="P31" s="4"/>
      <c r="Q31" s="4"/>
      <c r="R31" s="4"/>
      <c r="S31" s="4"/>
    </row>
    <row r="32" spans="1:19">
      <c r="A32" s="6">
        <f t="shared" si="2"/>
        <v>30</v>
      </c>
      <c r="B32" s="4" t="str">
        <f>G30 &amp; K31</f>
        <v>2023-BS-AI-038</v>
      </c>
      <c r="C32" s="4"/>
      <c r="D32" s="4" t="s">
        <v>7</v>
      </c>
      <c r="E32" s="5" t="s">
        <v>36</v>
      </c>
      <c r="F32" s="4" t="str">
        <f t="shared" si="1"/>
        <v>Ali Hassan</v>
      </c>
      <c r="G32" s="4" t="s">
        <v>5</v>
      </c>
      <c r="H32" s="4"/>
      <c r="I32" s="4"/>
      <c r="J32" s="4"/>
      <c r="K32" s="5">
        <v>40</v>
      </c>
      <c r="L32" s="4"/>
      <c r="M32" s="4"/>
      <c r="N32" s="4"/>
      <c r="O32" s="4"/>
      <c r="P32" s="4"/>
      <c r="Q32" s="4"/>
      <c r="R32" s="4"/>
      <c r="S32" s="4"/>
    </row>
    <row r="33" spans="1:19">
      <c r="A33" s="6">
        <f t="shared" si="2"/>
        <v>31</v>
      </c>
      <c r="B33" s="4" t="str">
        <f>G31 &amp; K32</f>
        <v>2023-BS-AI-040</v>
      </c>
      <c r="C33" s="4"/>
      <c r="D33" s="4" t="s">
        <v>110</v>
      </c>
      <c r="E33" s="5"/>
      <c r="F33" s="4" t="s">
        <v>112</v>
      </c>
      <c r="G33" s="4" t="s">
        <v>5</v>
      </c>
      <c r="H33" s="4"/>
      <c r="I33" s="4"/>
      <c r="J33" s="4"/>
      <c r="K33" s="5">
        <v>41</v>
      </c>
      <c r="L33" s="4"/>
      <c r="M33" s="4"/>
      <c r="N33" s="4"/>
      <c r="O33" s="4"/>
      <c r="P33" s="4"/>
      <c r="Q33" s="4"/>
      <c r="R33" s="4"/>
      <c r="S33" s="4"/>
    </row>
    <row r="34" spans="1:19">
      <c r="A34" s="6">
        <f t="shared" si="2"/>
        <v>32</v>
      </c>
      <c r="B34" s="4" t="str">
        <f t="shared" ref="B34:B42" si="3">G31 &amp; K33</f>
        <v>2023-BS-AI-041</v>
      </c>
      <c r="C34" s="4"/>
      <c r="D34" s="4" t="s">
        <v>7</v>
      </c>
      <c r="E34" s="5" t="s">
        <v>37</v>
      </c>
      <c r="F34" s="4" t="str">
        <f t="shared" si="1"/>
        <v>Wishaq Akbar</v>
      </c>
      <c r="G34" s="4" t="s">
        <v>5</v>
      </c>
      <c r="H34" s="4"/>
      <c r="I34" s="4"/>
      <c r="J34" s="4"/>
      <c r="K34" s="5">
        <v>46</v>
      </c>
      <c r="L34" s="4"/>
      <c r="M34" s="4"/>
      <c r="N34" s="4"/>
      <c r="O34" s="4"/>
      <c r="P34" s="4"/>
      <c r="Q34" s="4"/>
      <c r="R34" s="4"/>
      <c r="S34" s="4"/>
    </row>
    <row r="35" spans="1:19">
      <c r="A35" s="6">
        <f t="shared" si="2"/>
        <v>33</v>
      </c>
      <c r="B35" s="4" t="str">
        <f t="shared" si="3"/>
        <v>2023-BS-AI-046</v>
      </c>
      <c r="C35" s="4"/>
      <c r="D35" s="4" t="s">
        <v>7</v>
      </c>
      <c r="E35" s="5" t="s">
        <v>38</v>
      </c>
      <c r="F35" s="4" t="str">
        <f t="shared" si="1"/>
        <v>Hanzla Bhatti</v>
      </c>
      <c r="G35" s="4" t="s">
        <v>5</v>
      </c>
      <c r="H35" s="4"/>
      <c r="I35" s="4"/>
      <c r="J35" s="4"/>
      <c r="K35" s="5">
        <v>47</v>
      </c>
      <c r="L35" s="4"/>
      <c r="M35" s="4"/>
      <c r="N35" s="4"/>
      <c r="O35" s="4"/>
      <c r="P35" s="4"/>
      <c r="Q35" s="4"/>
      <c r="R35" s="4"/>
      <c r="S35" s="4"/>
    </row>
    <row r="36" spans="1:19">
      <c r="A36" s="6">
        <f t="shared" si="2"/>
        <v>34</v>
      </c>
      <c r="B36" s="4" t="str">
        <f t="shared" si="3"/>
        <v>2023-BS-AI-047</v>
      </c>
      <c r="C36" s="4"/>
      <c r="D36" s="4" t="s">
        <v>7</v>
      </c>
      <c r="E36" s="5" t="s">
        <v>39</v>
      </c>
      <c r="F36" s="4" t="str">
        <f t="shared" si="1"/>
        <v>Laiba Fatima</v>
      </c>
      <c r="G36" s="4" t="s">
        <v>5</v>
      </c>
      <c r="H36" s="4"/>
      <c r="I36" s="4"/>
      <c r="J36" s="4"/>
      <c r="K36" s="5">
        <v>52</v>
      </c>
      <c r="L36" s="4"/>
      <c r="M36" s="4"/>
      <c r="N36" s="4"/>
      <c r="O36" s="4"/>
      <c r="P36" s="4"/>
      <c r="Q36" s="4"/>
      <c r="R36" s="4"/>
      <c r="S36" s="4"/>
    </row>
    <row r="37" spans="1:19">
      <c r="A37" s="6">
        <f t="shared" si="2"/>
        <v>35</v>
      </c>
      <c r="B37" s="4" t="str">
        <f t="shared" si="3"/>
        <v>2023-BS-AI-052</v>
      </c>
      <c r="C37" s="4"/>
      <c r="D37" s="4" t="s">
        <v>7</v>
      </c>
      <c r="E37" s="5" t="s">
        <v>40</v>
      </c>
      <c r="F37" s="4" t="str">
        <f t="shared" si="1"/>
        <v>M. Zain</v>
      </c>
      <c r="G37" s="4" t="s">
        <v>5</v>
      </c>
      <c r="H37" s="4"/>
      <c r="I37" s="4"/>
      <c r="J37" s="4"/>
      <c r="K37" s="5">
        <v>54</v>
      </c>
      <c r="L37" s="4"/>
      <c r="M37" s="4"/>
      <c r="N37" s="4"/>
      <c r="O37" s="4"/>
      <c r="P37" s="4"/>
      <c r="Q37" s="4"/>
      <c r="R37" s="4"/>
      <c r="S37" s="4"/>
    </row>
    <row r="38" spans="1:19">
      <c r="A38" s="6">
        <f t="shared" si="2"/>
        <v>36</v>
      </c>
      <c r="B38" s="4" t="str">
        <f t="shared" si="3"/>
        <v>2023-BS-AI-054</v>
      </c>
      <c r="C38" s="4"/>
      <c r="D38" s="4" t="s">
        <v>7</v>
      </c>
      <c r="E38" s="5" t="s">
        <v>41</v>
      </c>
      <c r="F38" s="4" t="str">
        <f t="shared" si="1"/>
        <v>Waleed Amjad</v>
      </c>
      <c r="G38" s="4" t="s">
        <v>5</v>
      </c>
      <c r="H38" s="4"/>
      <c r="I38" s="4"/>
      <c r="J38" s="4"/>
      <c r="K38" s="5">
        <v>56</v>
      </c>
      <c r="L38" s="4"/>
      <c r="M38" s="4"/>
      <c r="N38" s="4"/>
      <c r="O38" s="4"/>
      <c r="P38" s="4"/>
      <c r="Q38" s="4"/>
      <c r="R38" s="4"/>
      <c r="S38" s="4"/>
    </row>
    <row r="39" spans="1:19">
      <c r="A39" s="6">
        <f t="shared" si="2"/>
        <v>37</v>
      </c>
      <c r="B39" s="4" t="str">
        <f t="shared" si="3"/>
        <v>2023-BS-AI-056</v>
      </c>
      <c r="C39" s="4"/>
      <c r="D39" s="4" t="s">
        <v>7</v>
      </c>
      <c r="E39" s="5" t="s">
        <v>42</v>
      </c>
      <c r="F39" s="4" t="str">
        <f t="shared" si="1"/>
        <v>Masod Bakhtiyar</v>
      </c>
      <c r="G39" s="4" t="s">
        <v>5</v>
      </c>
      <c r="H39" s="4"/>
      <c r="I39" s="4"/>
      <c r="J39" s="4"/>
      <c r="K39" s="5">
        <v>57</v>
      </c>
      <c r="L39" s="4"/>
      <c r="M39" s="4"/>
      <c r="N39" s="4"/>
      <c r="O39" s="4"/>
      <c r="P39" s="4"/>
      <c r="Q39" s="4"/>
      <c r="R39" s="4"/>
      <c r="S39" s="4"/>
    </row>
    <row r="40" spans="1:19">
      <c r="A40" s="6">
        <f t="shared" si="2"/>
        <v>38</v>
      </c>
      <c r="B40" s="4" t="str">
        <f t="shared" si="3"/>
        <v>2023-BS-AI-057</v>
      </c>
      <c r="C40" s="4"/>
      <c r="D40" s="4" t="s">
        <v>7</v>
      </c>
      <c r="E40" s="5" t="s">
        <v>15</v>
      </c>
      <c r="F40" s="4" t="str">
        <f t="shared" si="1"/>
        <v>Ayesha Imran</v>
      </c>
      <c r="G40" s="4" t="s">
        <v>5</v>
      </c>
      <c r="H40" s="4"/>
      <c r="I40" s="4"/>
      <c r="J40" s="4"/>
      <c r="K40" s="5">
        <v>58</v>
      </c>
      <c r="L40" s="4"/>
      <c r="M40" s="4"/>
      <c r="N40" s="4"/>
      <c r="O40" s="4"/>
      <c r="P40" s="4"/>
      <c r="Q40" s="4"/>
      <c r="R40" s="4"/>
      <c r="S40" s="4"/>
    </row>
    <row r="41" spans="1:19">
      <c r="A41" s="6">
        <f t="shared" si="2"/>
        <v>39</v>
      </c>
      <c r="B41" s="4" t="str">
        <f t="shared" si="3"/>
        <v>2023-BS-AI-058</v>
      </c>
      <c r="C41" s="4"/>
      <c r="D41" s="4" t="s">
        <v>7</v>
      </c>
      <c r="E41" s="5" t="s">
        <v>43</v>
      </c>
      <c r="F41" s="4" t="str">
        <f t="shared" si="1"/>
        <v>Maham Nisar</v>
      </c>
      <c r="G41" s="4" t="s">
        <v>5</v>
      </c>
      <c r="H41" s="4"/>
      <c r="I41" s="4"/>
      <c r="J41" s="4"/>
      <c r="K41" s="5">
        <v>59</v>
      </c>
      <c r="L41" s="4"/>
      <c r="M41" s="4"/>
      <c r="N41" s="4"/>
      <c r="O41" s="4"/>
      <c r="P41" s="4"/>
      <c r="Q41" s="4"/>
      <c r="R41" s="4"/>
      <c r="S41" s="4"/>
    </row>
    <row r="42" spans="1:19">
      <c r="A42" s="6">
        <f t="shared" si="2"/>
        <v>40</v>
      </c>
      <c r="B42" s="4" t="str">
        <f t="shared" si="3"/>
        <v>2023-BS-AI-059</v>
      </c>
      <c r="C42" s="4"/>
      <c r="D42" s="4" t="s">
        <v>45</v>
      </c>
      <c r="E42" s="5" t="s">
        <v>47</v>
      </c>
      <c r="F42" s="4" t="str">
        <f t="shared" si="1"/>
        <v>Minahil Bilal</v>
      </c>
      <c r="G42" s="4" t="s">
        <v>5</v>
      </c>
      <c r="H42" s="4"/>
      <c r="I42" s="4"/>
      <c r="J42" s="4"/>
      <c r="K42" s="5">
        <v>61</v>
      </c>
      <c r="L42" s="4"/>
      <c r="M42" s="4"/>
      <c r="N42" s="4"/>
      <c r="O42" s="4"/>
      <c r="P42" s="4"/>
      <c r="Q42" s="4"/>
      <c r="R42" s="4"/>
      <c r="S42" s="4"/>
    </row>
    <row r="43" spans="1:19">
      <c r="A43" s="6">
        <f t="shared" si="2"/>
        <v>41</v>
      </c>
      <c r="B43" s="4" t="str">
        <f t="shared" ref="B43:B49" si="4">G39 &amp; K42</f>
        <v>2023-BS-AI-061</v>
      </c>
      <c r="C43" s="4"/>
      <c r="D43" s="4" t="s">
        <v>7</v>
      </c>
      <c r="E43" s="5" t="s">
        <v>15</v>
      </c>
      <c r="F43" s="4" t="str">
        <f t="shared" si="1"/>
        <v>Ayesha Imran</v>
      </c>
      <c r="G43" s="4" t="s">
        <v>5</v>
      </c>
      <c r="H43" s="4"/>
      <c r="I43" s="4"/>
      <c r="J43" s="4"/>
      <c r="K43" s="5">
        <v>62</v>
      </c>
      <c r="L43" s="4"/>
      <c r="M43" s="4"/>
      <c r="N43" s="4"/>
      <c r="O43" s="4"/>
      <c r="P43" s="4"/>
      <c r="Q43" s="4"/>
      <c r="R43" s="4"/>
      <c r="S43" s="4"/>
    </row>
    <row r="44" spans="1:19">
      <c r="A44" s="6">
        <f t="shared" si="2"/>
        <v>42</v>
      </c>
      <c r="B44" s="4" t="str">
        <f t="shared" si="4"/>
        <v>2023-BS-AI-062</v>
      </c>
      <c r="C44" s="4"/>
      <c r="D44" s="4" t="s">
        <v>7</v>
      </c>
      <c r="E44" s="5" t="s">
        <v>44</v>
      </c>
      <c r="F44" s="4" t="str">
        <f t="shared" si="1"/>
        <v>M. Hashir Afzal</v>
      </c>
      <c r="G44" s="4" t="s">
        <v>5</v>
      </c>
      <c r="H44" s="4"/>
      <c r="I44" s="4"/>
      <c r="J44" s="4"/>
      <c r="K44" s="11">
        <v>64</v>
      </c>
      <c r="L44" s="4"/>
      <c r="M44" s="4"/>
      <c r="N44" s="4"/>
      <c r="O44" s="4"/>
      <c r="P44" s="4"/>
      <c r="Q44" s="4"/>
      <c r="R44" s="4"/>
      <c r="S44" s="4"/>
    </row>
    <row r="45" spans="1:19">
      <c r="A45" s="6">
        <f t="shared" si="2"/>
        <v>43</v>
      </c>
      <c r="B45" s="4" t="str">
        <f t="shared" si="4"/>
        <v>2023-BS-AI-064</v>
      </c>
      <c r="C45" s="4"/>
      <c r="D45" s="4" t="s">
        <v>45</v>
      </c>
      <c r="E45" s="4"/>
      <c r="F45" s="7" t="s">
        <v>48</v>
      </c>
      <c r="G45" s="4" t="s">
        <v>5</v>
      </c>
      <c r="H45" s="4"/>
      <c r="I45" s="4"/>
      <c r="J45" s="4"/>
      <c r="K45" s="11">
        <v>65</v>
      </c>
      <c r="L45" s="4"/>
      <c r="M45" s="4"/>
      <c r="N45" s="4"/>
      <c r="O45" s="4"/>
      <c r="P45" s="4"/>
      <c r="Q45" s="4"/>
      <c r="R45" s="4"/>
      <c r="S45" s="4"/>
    </row>
    <row r="46" spans="1:19">
      <c r="A46" s="6">
        <f t="shared" si="2"/>
        <v>44</v>
      </c>
      <c r="B46" s="4" t="str">
        <f t="shared" si="4"/>
        <v>2023-BS-AI-065</v>
      </c>
      <c r="C46" s="4"/>
      <c r="D46" s="4" t="s">
        <v>45</v>
      </c>
      <c r="E46" s="4"/>
      <c r="F46" s="7" t="s">
        <v>49</v>
      </c>
      <c r="G46" s="4" t="s">
        <v>5</v>
      </c>
      <c r="H46" s="4"/>
      <c r="I46" s="4"/>
      <c r="J46" s="4"/>
      <c r="K46" s="11">
        <v>68</v>
      </c>
      <c r="L46" s="4"/>
      <c r="M46" s="4"/>
      <c r="N46" s="4"/>
      <c r="O46" s="4"/>
      <c r="P46" s="4"/>
      <c r="Q46" s="4"/>
      <c r="R46" s="4"/>
      <c r="S46" s="4"/>
    </row>
    <row r="47" spans="1:19">
      <c r="A47" s="6">
        <f t="shared" si="2"/>
        <v>45</v>
      </c>
      <c r="B47" s="4" t="str">
        <f t="shared" si="4"/>
        <v>2023-BS-AI-068</v>
      </c>
      <c r="C47" s="4"/>
      <c r="D47" s="4" t="s">
        <v>45</v>
      </c>
      <c r="E47" s="4"/>
      <c r="F47" s="7" t="s">
        <v>50</v>
      </c>
      <c r="G47" s="4" t="s">
        <v>5</v>
      </c>
      <c r="H47" s="4"/>
      <c r="I47" s="4"/>
      <c r="J47" s="4"/>
      <c r="K47" s="11">
        <v>69</v>
      </c>
      <c r="L47" s="4"/>
      <c r="M47" s="4"/>
      <c r="N47" s="4"/>
      <c r="O47" s="4"/>
      <c r="P47" s="4"/>
      <c r="Q47" s="4"/>
      <c r="R47" s="4"/>
      <c r="S47" s="4"/>
    </row>
    <row r="48" spans="1:19">
      <c r="A48" s="6">
        <f t="shared" si="2"/>
        <v>46</v>
      </c>
      <c r="B48" s="4" t="str">
        <f t="shared" si="4"/>
        <v>2023-BS-AI-069</v>
      </c>
      <c r="C48" s="4"/>
      <c r="D48" s="4" t="s">
        <v>45</v>
      </c>
      <c r="E48" s="4"/>
      <c r="F48" s="7" t="s">
        <v>51</v>
      </c>
      <c r="G48" s="4" t="s">
        <v>5</v>
      </c>
      <c r="H48" s="4"/>
      <c r="I48" s="4"/>
      <c r="J48" s="4"/>
      <c r="K48" s="11">
        <v>70</v>
      </c>
      <c r="L48" s="4"/>
      <c r="M48" s="4"/>
      <c r="N48" s="4"/>
      <c r="O48" s="4"/>
      <c r="P48" s="4"/>
      <c r="Q48" s="4"/>
      <c r="R48" s="4"/>
      <c r="S48" s="4"/>
    </row>
    <row r="49" spans="1:19">
      <c r="A49" s="6">
        <f t="shared" si="2"/>
        <v>47</v>
      </c>
      <c r="B49" s="4" t="str">
        <f t="shared" si="4"/>
        <v>2023-BS-AI-070</v>
      </c>
      <c r="C49" s="4"/>
      <c r="D49" s="4" t="s">
        <v>110</v>
      </c>
      <c r="E49" s="4"/>
      <c r="F49" s="7" t="s">
        <v>113</v>
      </c>
      <c r="G49" s="4" t="s">
        <v>5</v>
      </c>
      <c r="H49" s="4"/>
      <c r="I49" s="4"/>
      <c r="J49" s="4"/>
      <c r="K49" s="11">
        <v>72</v>
      </c>
      <c r="L49" s="4"/>
      <c r="M49" s="4"/>
      <c r="N49" s="4"/>
      <c r="O49" s="4"/>
      <c r="P49" s="4"/>
      <c r="Q49" s="4"/>
      <c r="R49" s="4"/>
      <c r="S49" s="4"/>
    </row>
    <row r="50" spans="1:19">
      <c r="A50" s="6">
        <f t="shared" si="2"/>
        <v>48</v>
      </c>
      <c r="B50" s="4" t="str">
        <f t="shared" ref="B50:B57" si="5">G45 &amp; K49</f>
        <v>2023-BS-AI-072</v>
      </c>
      <c r="C50" s="4"/>
      <c r="D50" s="4" t="s">
        <v>45</v>
      </c>
      <c r="E50" s="4"/>
      <c r="F50" s="7" t="s">
        <v>52</v>
      </c>
      <c r="G50" s="4" t="s">
        <v>5</v>
      </c>
      <c r="H50" s="4"/>
      <c r="I50" s="4"/>
      <c r="J50" s="4"/>
      <c r="K50" s="11">
        <v>74</v>
      </c>
      <c r="L50" s="4"/>
      <c r="M50" s="4"/>
      <c r="N50" s="4"/>
      <c r="O50" s="4"/>
      <c r="P50" s="4"/>
      <c r="Q50" s="4"/>
      <c r="R50" s="4"/>
      <c r="S50" s="4"/>
    </row>
    <row r="51" spans="1:19">
      <c r="A51" s="6">
        <f t="shared" si="2"/>
        <v>49</v>
      </c>
      <c r="B51" s="4" t="str">
        <f t="shared" si="5"/>
        <v>2023-BS-AI-074</v>
      </c>
      <c r="C51" s="4"/>
      <c r="D51" s="4" t="s">
        <v>45</v>
      </c>
      <c r="E51" s="4"/>
      <c r="F51" s="7" t="s">
        <v>53</v>
      </c>
      <c r="G51" s="4" t="s">
        <v>5</v>
      </c>
      <c r="H51" s="4"/>
      <c r="I51" s="4"/>
      <c r="J51" s="4"/>
      <c r="K51" s="11">
        <v>76</v>
      </c>
      <c r="L51" s="4"/>
      <c r="M51" s="4"/>
      <c r="N51" s="4"/>
      <c r="O51" s="4"/>
      <c r="P51" s="4"/>
      <c r="Q51" s="4"/>
      <c r="R51" s="4"/>
      <c r="S51" s="4"/>
    </row>
    <row r="52" spans="1:19">
      <c r="A52" s="6">
        <f t="shared" si="2"/>
        <v>50</v>
      </c>
      <c r="B52" s="4" t="str">
        <f t="shared" si="5"/>
        <v>2023-BS-AI-076</v>
      </c>
      <c r="C52" s="4"/>
      <c r="D52" s="4" t="s">
        <v>45</v>
      </c>
      <c r="E52" s="4"/>
      <c r="F52" s="7" t="s">
        <v>54</v>
      </c>
      <c r="G52" s="4" t="s">
        <v>5</v>
      </c>
      <c r="H52" s="4"/>
      <c r="I52" s="4"/>
      <c r="J52" s="4"/>
      <c r="K52" s="11">
        <v>77</v>
      </c>
      <c r="L52" s="4"/>
      <c r="M52" s="4"/>
      <c r="N52" s="4"/>
      <c r="O52" s="4"/>
      <c r="P52" s="4"/>
      <c r="Q52" s="4"/>
      <c r="R52" s="4"/>
      <c r="S52" s="4"/>
    </row>
    <row r="53" spans="1:19">
      <c r="A53" s="6">
        <f t="shared" si="2"/>
        <v>51</v>
      </c>
      <c r="B53" s="4" t="str">
        <f t="shared" si="5"/>
        <v>2023-BS-AI-077</v>
      </c>
      <c r="C53" s="4"/>
      <c r="D53" s="4" t="s">
        <v>45</v>
      </c>
      <c r="E53" s="4"/>
      <c r="F53" s="7" t="s">
        <v>55</v>
      </c>
      <c r="G53" s="4" t="s">
        <v>5</v>
      </c>
      <c r="H53" s="4"/>
      <c r="I53" s="4"/>
      <c r="J53" s="4"/>
      <c r="K53" s="11">
        <v>78</v>
      </c>
      <c r="L53" s="4"/>
      <c r="M53" s="4"/>
      <c r="N53" s="4"/>
      <c r="O53" s="4"/>
      <c r="P53" s="4"/>
      <c r="Q53" s="4"/>
      <c r="R53" s="4"/>
      <c r="S53" s="4"/>
    </row>
    <row r="54" spans="1:19">
      <c r="A54" s="6">
        <f t="shared" si="2"/>
        <v>52</v>
      </c>
      <c r="B54" s="4" t="str">
        <f t="shared" si="5"/>
        <v>2023-BS-AI-078</v>
      </c>
      <c r="C54" s="4"/>
      <c r="D54" s="4" t="s">
        <v>45</v>
      </c>
      <c r="E54" s="4"/>
      <c r="F54" s="7" t="s">
        <v>56</v>
      </c>
      <c r="G54" s="4" t="s">
        <v>5</v>
      </c>
      <c r="H54" s="4"/>
      <c r="I54" s="4"/>
      <c r="J54" s="4"/>
      <c r="K54" s="11">
        <v>79</v>
      </c>
      <c r="L54" s="4"/>
      <c r="M54" s="4"/>
      <c r="N54" s="4"/>
      <c r="O54" s="4"/>
      <c r="P54" s="4"/>
      <c r="Q54" s="4"/>
      <c r="R54" s="4"/>
      <c r="S54" s="4"/>
    </row>
    <row r="55" spans="1:19">
      <c r="A55" s="6">
        <f t="shared" si="2"/>
        <v>53</v>
      </c>
      <c r="B55" s="4" t="str">
        <f t="shared" si="5"/>
        <v>2023-BS-AI-079</v>
      </c>
      <c r="C55" s="4"/>
      <c r="D55" s="4" t="s">
        <v>45</v>
      </c>
      <c r="E55" s="4"/>
      <c r="F55" s="7" t="s">
        <v>57</v>
      </c>
      <c r="G55" s="4" t="s">
        <v>5</v>
      </c>
      <c r="H55" s="4"/>
      <c r="I55" s="4"/>
      <c r="J55" s="4"/>
      <c r="K55" s="11">
        <v>81</v>
      </c>
      <c r="L55" s="4"/>
      <c r="M55" s="4"/>
      <c r="N55" s="4"/>
      <c r="O55" s="4"/>
      <c r="P55" s="4"/>
      <c r="Q55" s="4"/>
      <c r="R55" s="4"/>
      <c r="S55" s="4"/>
    </row>
    <row r="56" spans="1:19">
      <c r="A56" s="6">
        <f t="shared" si="2"/>
        <v>54</v>
      </c>
      <c r="B56" s="4" t="str">
        <f t="shared" si="5"/>
        <v>2023-BS-AI-081</v>
      </c>
      <c r="C56" s="4"/>
      <c r="D56" s="4" t="s">
        <v>45</v>
      </c>
      <c r="E56" s="4"/>
      <c r="F56" s="7" t="s">
        <v>58</v>
      </c>
      <c r="G56" s="4" t="s">
        <v>5</v>
      </c>
      <c r="H56" s="4"/>
      <c r="I56" s="4"/>
      <c r="J56" s="4"/>
      <c r="K56" s="11">
        <v>85</v>
      </c>
      <c r="L56" s="4"/>
      <c r="M56" s="4"/>
      <c r="N56" s="4"/>
      <c r="O56" s="4"/>
      <c r="P56" s="4"/>
      <c r="Q56" s="4"/>
      <c r="R56" s="4"/>
      <c r="S56" s="4"/>
    </row>
    <row r="57" spans="1:19">
      <c r="A57" s="6">
        <f t="shared" si="2"/>
        <v>55</v>
      </c>
      <c r="B57" s="4" t="str">
        <f t="shared" si="5"/>
        <v>2023-BS-AI-085</v>
      </c>
      <c r="C57" s="4"/>
      <c r="D57" s="4" t="s">
        <v>45</v>
      </c>
      <c r="E57" s="4"/>
      <c r="F57" s="7" t="s">
        <v>59</v>
      </c>
      <c r="G57" s="4" t="s">
        <v>5</v>
      </c>
      <c r="H57" s="4"/>
      <c r="I57" s="4"/>
      <c r="J57" s="4"/>
      <c r="K57" s="11">
        <v>88</v>
      </c>
      <c r="L57" s="4"/>
      <c r="M57" s="4"/>
      <c r="N57" s="4"/>
      <c r="O57" s="4"/>
      <c r="P57" s="4"/>
      <c r="Q57" s="4"/>
      <c r="R57" s="4"/>
      <c r="S57" s="4"/>
    </row>
    <row r="58" spans="1:19">
      <c r="A58" s="6">
        <f>A57+1</f>
        <v>56</v>
      </c>
      <c r="B58" s="4" t="str">
        <f>G53 &amp; K57</f>
        <v>2023-BS-AI-088</v>
      </c>
      <c r="C58" s="4"/>
      <c r="D58" s="4" t="s">
        <v>45</v>
      </c>
      <c r="E58" s="4"/>
      <c r="F58" s="7" t="s">
        <v>60</v>
      </c>
      <c r="G58" s="4" t="s">
        <v>4</v>
      </c>
      <c r="H58" s="4"/>
      <c r="I58" s="4"/>
      <c r="J58" s="4"/>
      <c r="K58" s="11">
        <v>91</v>
      </c>
      <c r="L58" s="4"/>
      <c r="M58" s="4"/>
      <c r="N58" s="4"/>
      <c r="O58" s="4"/>
      <c r="P58" s="4"/>
      <c r="Q58" s="4"/>
      <c r="R58" s="4"/>
      <c r="S58" s="4"/>
    </row>
    <row r="59" spans="1:19">
      <c r="A59" s="6">
        <f t="shared" ref="A59:A117" si="6">A58+1</f>
        <v>57</v>
      </c>
      <c r="B59" s="4" t="s">
        <v>165</v>
      </c>
      <c r="C59" s="4"/>
      <c r="D59" s="4" t="s">
        <v>7</v>
      </c>
      <c r="E59" s="4"/>
      <c r="F59" s="7" t="s">
        <v>166</v>
      </c>
      <c r="G59" s="4"/>
      <c r="H59" s="4"/>
      <c r="I59" s="4"/>
      <c r="J59" s="4"/>
      <c r="K59" s="11"/>
      <c r="L59" s="4"/>
      <c r="M59" s="4"/>
      <c r="N59" s="4"/>
      <c r="O59" s="4"/>
      <c r="P59" s="4"/>
      <c r="Q59" s="4"/>
      <c r="R59" s="4"/>
      <c r="S59" s="4"/>
    </row>
    <row r="60" spans="1:19">
      <c r="A60" s="6">
        <f t="shared" si="6"/>
        <v>58</v>
      </c>
      <c r="B60" s="4" t="str">
        <f>G54 &amp; K58</f>
        <v>2023-BS-AI-091</v>
      </c>
      <c r="C60" s="4"/>
      <c r="D60" s="4" t="s">
        <v>45</v>
      </c>
      <c r="E60" s="4"/>
      <c r="F60" s="7" t="s">
        <v>61</v>
      </c>
      <c r="G60" s="4" t="s">
        <v>4</v>
      </c>
      <c r="H60" s="4"/>
      <c r="I60" s="4"/>
      <c r="J60" s="4"/>
      <c r="K60" s="11">
        <v>92</v>
      </c>
      <c r="L60" s="4"/>
      <c r="M60" s="4"/>
      <c r="N60" s="4"/>
      <c r="O60" s="4"/>
      <c r="P60" s="4"/>
      <c r="Q60" s="4"/>
      <c r="R60" s="4"/>
      <c r="S60" s="4"/>
    </row>
    <row r="61" spans="1:19">
      <c r="A61" s="6">
        <f t="shared" si="6"/>
        <v>59</v>
      </c>
      <c r="B61" s="4" t="str">
        <f>G55 &amp; K60</f>
        <v>2023-BS-AI-092</v>
      </c>
      <c r="C61" s="4"/>
      <c r="D61" s="4" t="s">
        <v>45</v>
      </c>
      <c r="E61" s="4"/>
      <c r="F61" s="7" t="s">
        <v>62</v>
      </c>
      <c r="G61" s="4" t="s">
        <v>4</v>
      </c>
      <c r="H61" s="4"/>
      <c r="I61" s="4"/>
      <c r="J61" s="4"/>
      <c r="K61" s="11">
        <v>93</v>
      </c>
      <c r="L61" s="4"/>
      <c r="M61" s="4"/>
      <c r="N61" s="4"/>
      <c r="O61" s="4"/>
      <c r="P61" s="4"/>
      <c r="Q61" s="4"/>
      <c r="R61" s="4"/>
      <c r="S61" s="4"/>
    </row>
    <row r="62" spans="1:19">
      <c r="A62" s="6">
        <f t="shared" si="6"/>
        <v>60</v>
      </c>
      <c r="B62" s="4" t="str">
        <f>G56 &amp; K61</f>
        <v>2023-BS-AI-093</v>
      </c>
      <c r="C62" s="4"/>
      <c r="D62" s="4" t="s">
        <v>45</v>
      </c>
      <c r="E62" s="4"/>
      <c r="F62" s="7" t="s">
        <v>63</v>
      </c>
      <c r="G62" s="4" t="s">
        <v>4</v>
      </c>
      <c r="H62" s="4"/>
      <c r="I62" s="4"/>
      <c r="J62" s="4"/>
      <c r="K62" s="11">
        <v>97</v>
      </c>
      <c r="L62" s="4"/>
      <c r="M62" s="4"/>
      <c r="N62" s="4"/>
      <c r="O62" s="4"/>
      <c r="P62" s="4"/>
      <c r="Q62" s="4"/>
      <c r="R62" s="4"/>
      <c r="S62" s="4"/>
    </row>
    <row r="63" spans="1:19">
      <c r="A63" s="6">
        <f t="shared" si="6"/>
        <v>61</v>
      </c>
      <c r="B63" s="4" t="str">
        <f>G57 &amp; K62</f>
        <v>2023-BS-AI-097</v>
      </c>
      <c r="C63" s="4"/>
      <c r="D63" s="4" t="s">
        <v>110</v>
      </c>
      <c r="E63" s="4"/>
      <c r="F63" s="7" t="s">
        <v>114</v>
      </c>
      <c r="G63" s="4" t="s">
        <v>4</v>
      </c>
      <c r="H63" s="4"/>
      <c r="I63" s="4"/>
      <c r="J63" s="4"/>
      <c r="K63" s="11">
        <v>98</v>
      </c>
      <c r="L63" s="4"/>
      <c r="M63" s="4"/>
      <c r="N63" s="4"/>
      <c r="O63" s="4"/>
      <c r="P63" s="4"/>
      <c r="Q63" s="4"/>
      <c r="R63" s="4"/>
      <c r="S63" s="4"/>
    </row>
    <row r="64" spans="1:19">
      <c r="A64" s="6">
        <f t="shared" si="6"/>
        <v>62</v>
      </c>
      <c r="B64" s="4" t="str">
        <f>G57 &amp; K63</f>
        <v>2023-BS-AI-098</v>
      </c>
      <c r="C64" s="4"/>
      <c r="D64" s="4" t="s">
        <v>45</v>
      </c>
      <c r="E64" s="4"/>
      <c r="F64" s="7" t="s">
        <v>64</v>
      </c>
      <c r="G64" s="4" t="s">
        <v>4</v>
      </c>
      <c r="H64" s="4"/>
      <c r="I64" s="4"/>
      <c r="J64" s="4"/>
      <c r="K64" s="11">
        <v>100</v>
      </c>
      <c r="L64" s="4"/>
      <c r="M64" s="4"/>
      <c r="N64" s="4"/>
      <c r="O64" s="4"/>
      <c r="P64" s="4"/>
      <c r="Q64" s="4"/>
      <c r="R64" s="4"/>
      <c r="S64" s="4"/>
    </row>
    <row r="65" spans="1:19">
      <c r="A65" s="6">
        <f t="shared" si="6"/>
        <v>63</v>
      </c>
      <c r="B65" s="4" t="str">
        <f>G58 &amp; K64</f>
        <v>2023-BS-AI-100</v>
      </c>
      <c r="C65" s="4"/>
      <c r="D65" s="4" t="s">
        <v>45</v>
      </c>
      <c r="E65" s="4"/>
      <c r="F65" s="7" t="s">
        <v>65</v>
      </c>
      <c r="G65" s="4" t="s">
        <v>4</v>
      </c>
      <c r="H65" s="4"/>
      <c r="I65" s="4"/>
      <c r="J65" s="4"/>
      <c r="K65" s="11">
        <v>101</v>
      </c>
      <c r="L65" s="4"/>
      <c r="M65" s="4"/>
      <c r="N65" s="4"/>
      <c r="O65" s="4"/>
      <c r="P65" s="4"/>
      <c r="Q65" s="4"/>
      <c r="R65" s="4"/>
      <c r="S65" s="4"/>
    </row>
    <row r="66" spans="1:19">
      <c r="A66" s="6">
        <f t="shared" si="6"/>
        <v>64</v>
      </c>
      <c r="B66" s="4" t="str">
        <f>G60 &amp; K65</f>
        <v>2023-BS-AI-101</v>
      </c>
      <c r="C66" s="4"/>
      <c r="D66" s="4" t="s">
        <v>45</v>
      </c>
      <c r="E66" s="4"/>
      <c r="F66" s="7" t="s">
        <v>66</v>
      </c>
      <c r="G66" s="4" t="s">
        <v>4</v>
      </c>
      <c r="H66" s="4"/>
      <c r="I66" s="4"/>
      <c r="J66" s="4"/>
      <c r="K66" s="11">
        <v>102</v>
      </c>
      <c r="L66" s="4"/>
      <c r="M66" s="4"/>
      <c r="N66" s="4"/>
      <c r="O66" s="4"/>
      <c r="P66" s="4"/>
      <c r="Q66" s="4"/>
      <c r="R66" s="4"/>
      <c r="S66" s="4"/>
    </row>
    <row r="67" spans="1:19">
      <c r="A67" s="6">
        <f t="shared" si="6"/>
        <v>65</v>
      </c>
      <c r="B67" s="4" t="str">
        <f>G61 &amp; K66</f>
        <v>2023-BS-AI-102</v>
      </c>
      <c r="C67" s="4"/>
      <c r="D67" s="4" t="s">
        <v>110</v>
      </c>
      <c r="E67" s="4"/>
      <c r="F67" s="7" t="s">
        <v>115</v>
      </c>
      <c r="G67" s="4" t="s">
        <v>4</v>
      </c>
      <c r="H67" s="4"/>
      <c r="I67" s="4"/>
      <c r="J67" s="4"/>
      <c r="K67" s="11">
        <v>103</v>
      </c>
      <c r="L67" s="4"/>
      <c r="M67" s="4"/>
      <c r="N67" s="4"/>
      <c r="O67" s="4"/>
      <c r="P67" s="4"/>
      <c r="Q67" s="4"/>
      <c r="R67" s="4"/>
      <c r="S67" s="4"/>
    </row>
    <row r="68" spans="1:19">
      <c r="A68" s="6">
        <f t="shared" si="6"/>
        <v>66</v>
      </c>
      <c r="B68" s="4" t="str">
        <f>G62 &amp; K67</f>
        <v>2023-BS-AI-103</v>
      </c>
      <c r="C68" s="4"/>
      <c r="D68" s="4" t="s">
        <v>110</v>
      </c>
      <c r="E68" s="4"/>
      <c r="F68" s="7" t="s">
        <v>116</v>
      </c>
      <c r="G68" s="4" t="s">
        <v>4</v>
      </c>
      <c r="H68" s="4"/>
      <c r="I68" s="4"/>
      <c r="J68" s="4"/>
      <c r="K68" s="11">
        <v>105</v>
      </c>
      <c r="L68" s="4"/>
      <c r="M68" s="4"/>
      <c r="N68" s="4"/>
      <c r="O68" s="4"/>
      <c r="P68" s="4"/>
      <c r="Q68" s="4"/>
      <c r="R68" s="4"/>
      <c r="S68" s="4"/>
    </row>
    <row r="69" spans="1:19">
      <c r="A69" s="6">
        <f t="shared" si="6"/>
        <v>67</v>
      </c>
      <c r="B69" s="4" t="str">
        <f>G61 &amp; K68</f>
        <v>2023-BS-AI-105</v>
      </c>
      <c r="C69" s="4"/>
      <c r="D69" s="4" t="s">
        <v>45</v>
      </c>
      <c r="E69" s="4"/>
      <c r="F69" s="7" t="s">
        <v>67</v>
      </c>
      <c r="G69" s="4" t="s">
        <v>4</v>
      </c>
      <c r="H69" s="4"/>
      <c r="I69" s="4"/>
      <c r="J69" s="4"/>
      <c r="K69" s="11">
        <v>106</v>
      </c>
      <c r="L69" s="4"/>
      <c r="M69" s="4"/>
      <c r="N69" s="4"/>
      <c r="O69" s="4"/>
      <c r="P69" s="4"/>
      <c r="Q69" s="4"/>
      <c r="R69" s="4"/>
      <c r="S69" s="4"/>
    </row>
    <row r="70" spans="1:19">
      <c r="A70" s="6">
        <f t="shared" si="6"/>
        <v>68</v>
      </c>
      <c r="B70" s="4" t="str">
        <f>G62 &amp; K69</f>
        <v>2023-BS-AI-106</v>
      </c>
      <c r="C70" s="4"/>
      <c r="D70" s="4" t="s">
        <v>110</v>
      </c>
      <c r="E70" s="4"/>
      <c r="F70" s="7" t="s">
        <v>117</v>
      </c>
      <c r="G70" s="4" t="s">
        <v>4</v>
      </c>
      <c r="H70" s="4"/>
      <c r="I70" s="4"/>
      <c r="J70" s="4"/>
      <c r="K70" s="11">
        <v>107</v>
      </c>
      <c r="L70" s="4"/>
      <c r="M70" s="4"/>
      <c r="N70" s="4"/>
      <c r="O70" s="4"/>
      <c r="P70" s="4"/>
      <c r="Q70" s="4"/>
      <c r="R70" s="4"/>
      <c r="S70" s="4"/>
    </row>
    <row r="71" spans="1:19">
      <c r="A71" s="6">
        <f t="shared" si="6"/>
        <v>69</v>
      </c>
      <c r="B71" s="4" t="str">
        <f t="shared" ref="B71:B76" si="7">G62 &amp; K70</f>
        <v>2023-BS-AI-107</v>
      </c>
      <c r="C71" s="4"/>
      <c r="D71" s="4" t="s">
        <v>45</v>
      </c>
      <c r="E71" s="4"/>
      <c r="F71" s="7" t="s">
        <v>68</v>
      </c>
      <c r="G71" s="4" t="s">
        <v>4</v>
      </c>
      <c r="H71" s="4"/>
      <c r="I71" s="4"/>
      <c r="J71" s="4"/>
      <c r="K71" s="11">
        <v>108</v>
      </c>
      <c r="L71" s="4"/>
      <c r="M71" s="4"/>
      <c r="N71" s="4"/>
      <c r="O71" s="4"/>
      <c r="P71" s="4"/>
      <c r="Q71" s="4"/>
      <c r="R71" s="4"/>
      <c r="S71" s="4"/>
    </row>
    <row r="72" spans="1:19">
      <c r="A72" s="6">
        <f t="shared" si="6"/>
        <v>70</v>
      </c>
      <c r="B72" s="4" t="str">
        <f t="shared" si="7"/>
        <v>2023-BS-AI-108</v>
      </c>
      <c r="C72" s="4"/>
      <c r="D72" s="4" t="s">
        <v>45</v>
      </c>
      <c r="E72" s="4"/>
      <c r="F72" s="7" t="s">
        <v>69</v>
      </c>
      <c r="G72" s="4" t="s">
        <v>4</v>
      </c>
      <c r="H72" s="4"/>
      <c r="I72" s="4"/>
      <c r="J72" s="4"/>
      <c r="K72" s="11">
        <v>109</v>
      </c>
      <c r="L72" s="4"/>
      <c r="M72" s="4"/>
      <c r="N72" s="4"/>
      <c r="O72" s="4"/>
      <c r="P72" s="4"/>
      <c r="Q72" s="4"/>
      <c r="R72" s="4"/>
      <c r="S72" s="4"/>
    </row>
    <row r="73" spans="1:19">
      <c r="A73" s="6">
        <f t="shared" si="6"/>
        <v>71</v>
      </c>
      <c r="B73" s="4" t="str">
        <f t="shared" si="7"/>
        <v>2023-BS-AI-109</v>
      </c>
      <c r="C73" s="4"/>
      <c r="D73" s="4" t="s">
        <v>45</v>
      </c>
      <c r="E73" s="4"/>
      <c r="F73" s="7" t="s">
        <v>70</v>
      </c>
      <c r="G73" s="4" t="s">
        <v>4</v>
      </c>
      <c r="H73" s="4"/>
      <c r="I73" s="4"/>
      <c r="J73" s="4"/>
      <c r="K73" s="11">
        <v>113</v>
      </c>
      <c r="L73" s="4"/>
      <c r="M73" s="4"/>
      <c r="N73" s="4"/>
      <c r="O73" s="4"/>
      <c r="P73" s="4"/>
      <c r="Q73" s="4"/>
      <c r="R73" s="4"/>
      <c r="S73" s="4"/>
    </row>
    <row r="74" spans="1:19">
      <c r="A74" s="6">
        <f t="shared" si="6"/>
        <v>72</v>
      </c>
      <c r="B74" s="4" t="str">
        <f t="shared" si="7"/>
        <v>2023-BS-AI-113</v>
      </c>
      <c r="C74" s="4"/>
      <c r="D74" s="4" t="s">
        <v>45</v>
      </c>
      <c r="E74" s="4"/>
      <c r="F74" s="7" t="s">
        <v>71</v>
      </c>
      <c r="G74" s="4" t="s">
        <v>4</v>
      </c>
      <c r="H74" s="4"/>
      <c r="I74" s="4"/>
      <c r="J74" s="4"/>
      <c r="K74" s="11">
        <v>116</v>
      </c>
      <c r="L74" s="4"/>
      <c r="M74" s="4"/>
      <c r="N74" s="4"/>
      <c r="O74" s="4"/>
      <c r="P74" s="4"/>
      <c r="Q74" s="4"/>
      <c r="R74" s="4"/>
      <c r="S74" s="4"/>
    </row>
    <row r="75" spans="1:19">
      <c r="A75" s="6">
        <f t="shared" si="6"/>
        <v>73</v>
      </c>
      <c r="B75" s="4" t="str">
        <f t="shared" si="7"/>
        <v>2023-BS-AI-116</v>
      </c>
      <c r="C75" s="4"/>
      <c r="D75" s="4" t="s">
        <v>45</v>
      </c>
      <c r="E75" s="4"/>
      <c r="F75" s="7" t="s">
        <v>72</v>
      </c>
      <c r="G75" s="4" t="s">
        <v>4</v>
      </c>
      <c r="H75" s="4"/>
      <c r="I75" s="4"/>
      <c r="J75" s="4"/>
      <c r="K75" s="11">
        <v>117</v>
      </c>
      <c r="L75" s="4"/>
      <c r="M75" s="4"/>
      <c r="N75" s="4"/>
      <c r="O75" s="4"/>
      <c r="P75" s="4"/>
      <c r="Q75" s="4"/>
      <c r="R75" s="4"/>
      <c r="S75" s="4"/>
    </row>
    <row r="76" spans="1:19">
      <c r="A76" s="6">
        <f t="shared" si="6"/>
        <v>74</v>
      </c>
      <c r="B76" s="4" t="str">
        <f t="shared" si="7"/>
        <v>2023-BS-AI-117</v>
      </c>
      <c r="C76" s="4"/>
      <c r="D76" s="4" t="s">
        <v>110</v>
      </c>
      <c r="E76" s="4"/>
      <c r="F76" s="7" t="s">
        <v>118</v>
      </c>
      <c r="G76" s="4" t="s">
        <v>4</v>
      </c>
      <c r="H76" s="4"/>
      <c r="I76" s="4"/>
      <c r="J76" s="4"/>
      <c r="K76" s="11">
        <v>119</v>
      </c>
      <c r="L76" s="4"/>
      <c r="M76" s="4"/>
      <c r="N76" s="4"/>
      <c r="O76" s="4"/>
      <c r="P76" s="4"/>
      <c r="Q76" s="4"/>
      <c r="R76" s="4"/>
      <c r="S76" s="4"/>
    </row>
    <row r="77" spans="1:19">
      <c r="A77" s="6">
        <f t="shared" si="6"/>
        <v>75</v>
      </c>
      <c r="B77" s="4" t="str">
        <f>G67 &amp; K76</f>
        <v>2023-BS-AI-119</v>
      </c>
      <c r="C77" s="4"/>
      <c r="D77" s="4" t="s">
        <v>45</v>
      </c>
      <c r="E77" s="4"/>
      <c r="F77" s="7" t="s">
        <v>73</v>
      </c>
      <c r="G77" s="4" t="s">
        <v>4</v>
      </c>
      <c r="H77" s="4"/>
      <c r="I77" s="4"/>
      <c r="J77" s="4"/>
      <c r="K77" s="11">
        <v>120</v>
      </c>
      <c r="L77" s="4"/>
      <c r="M77" s="4"/>
      <c r="N77" s="4"/>
      <c r="O77" s="4"/>
      <c r="P77" s="4"/>
      <c r="Q77" s="4"/>
      <c r="R77" s="4"/>
      <c r="S77" s="4"/>
    </row>
    <row r="78" spans="1:19">
      <c r="A78" s="6">
        <f t="shared" si="6"/>
        <v>76</v>
      </c>
      <c r="B78" s="4" t="str">
        <f>G68 &amp; K77</f>
        <v>2023-BS-AI-120</v>
      </c>
      <c r="C78" s="4"/>
      <c r="D78" s="4" t="s">
        <v>45</v>
      </c>
      <c r="E78" s="4"/>
      <c r="F78" s="7" t="s">
        <v>66</v>
      </c>
      <c r="G78" s="4" t="s">
        <v>4</v>
      </c>
      <c r="H78" s="4"/>
      <c r="I78" s="4"/>
      <c r="J78" s="4"/>
      <c r="K78" s="11">
        <v>121</v>
      </c>
      <c r="L78" s="4"/>
      <c r="M78" s="4"/>
      <c r="N78" s="4"/>
      <c r="O78" s="4"/>
      <c r="P78" s="4"/>
      <c r="Q78" s="4"/>
      <c r="R78" s="4"/>
      <c r="S78" s="4"/>
    </row>
    <row r="79" spans="1:19">
      <c r="A79" s="6">
        <f t="shared" si="6"/>
        <v>77</v>
      </c>
      <c r="B79" s="4" t="str">
        <f>G69 &amp; K78</f>
        <v>2023-BS-AI-121</v>
      </c>
      <c r="C79" s="4"/>
      <c r="D79" s="4" t="s">
        <v>45</v>
      </c>
      <c r="E79" s="4"/>
      <c r="F79" s="7" t="s">
        <v>74</v>
      </c>
      <c r="G79" s="4" t="s">
        <v>4</v>
      </c>
      <c r="H79" s="4"/>
      <c r="I79" s="4"/>
      <c r="J79" s="4"/>
      <c r="K79" s="11">
        <v>122</v>
      </c>
      <c r="L79" s="4"/>
      <c r="M79" s="4"/>
      <c r="N79" s="4"/>
      <c r="O79" s="4"/>
      <c r="P79" s="4"/>
      <c r="Q79" s="4"/>
      <c r="R79" s="4"/>
      <c r="S79" s="4"/>
    </row>
    <row r="80" spans="1:19">
      <c r="A80" s="6">
        <f t="shared" si="6"/>
        <v>78</v>
      </c>
      <c r="B80" s="4" t="str">
        <f>G70 &amp; K79</f>
        <v>2023-BS-AI-122</v>
      </c>
      <c r="C80" s="4"/>
      <c r="D80" s="4" t="s">
        <v>110</v>
      </c>
      <c r="E80" s="4"/>
      <c r="F80" s="7" t="s">
        <v>119</v>
      </c>
      <c r="G80" s="4" t="s">
        <v>4</v>
      </c>
      <c r="H80" s="4"/>
      <c r="I80" s="4"/>
      <c r="J80" s="4"/>
      <c r="K80" s="11">
        <v>123</v>
      </c>
      <c r="L80" s="4"/>
      <c r="M80" s="4"/>
      <c r="N80" s="4"/>
      <c r="O80" s="4"/>
      <c r="P80" s="4"/>
      <c r="Q80" s="4"/>
      <c r="R80" s="4"/>
      <c r="S80" s="4"/>
    </row>
    <row r="81" spans="1:19">
      <c r="A81" s="6">
        <f t="shared" si="6"/>
        <v>79</v>
      </c>
      <c r="B81" s="4" t="str">
        <f>G70 &amp; K80</f>
        <v>2023-BS-AI-123</v>
      </c>
      <c r="C81" s="4"/>
      <c r="D81" s="4" t="s">
        <v>45</v>
      </c>
      <c r="E81" s="4"/>
      <c r="F81" s="7" t="s">
        <v>75</v>
      </c>
      <c r="G81" s="4" t="s">
        <v>4</v>
      </c>
      <c r="H81" s="4"/>
      <c r="I81" s="4"/>
      <c r="J81" s="4"/>
      <c r="K81" s="11">
        <v>127</v>
      </c>
      <c r="L81" s="4"/>
      <c r="M81" s="4"/>
      <c r="N81" s="4"/>
      <c r="O81" s="4"/>
      <c r="P81" s="4"/>
      <c r="Q81" s="4"/>
      <c r="R81" s="4"/>
      <c r="S81" s="4"/>
    </row>
    <row r="82" spans="1:19">
      <c r="A82" s="6">
        <f t="shared" si="6"/>
        <v>80</v>
      </c>
      <c r="B82" s="4" t="str">
        <f>G71 &amp; K81</f>
        <v>2023-BS-AI-127</v>
      </c>
      <c r="C82" s="4"/>
      <c r="D82" s="4" t="s">
        <v>110</v>
      </c>
      <c r="E82" s="4"/>
      <c r="F82" s="7" t="s">
        <v>120</v>
      </c>
      <c r="G82" s="4" t="s">
        <v>4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spans="1:19">
      <c r="A83" s="6">
        <f t="shared" si="6"/>
        <v>81</v>
      </c>
      <c r="B83" s="8" t="s">
        <v>79</v>
      </c>
      <c r="C83" s="4"/>
      <c r="D83" s="4" t="s">
        <v>110</v>
      </c>
      <c r="E83" s="9" t="s">
        <v>122</v>
      </c>
      <c r="F83" s="4" t="str">
        <f>PROPER(LEFT(E83,FIND(" ",E83)-1)) &amp; " " &amp; PROPER(MID(E83,FIND(" ",E83)+1,LEN(E83)))</f>
        <v>Daniyal Hussain</v>
      </c>
      <c r="G83" s="4" t="s">
        <v>4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spans="1:19">
      <c r="A84" s="6">
        <f t="shared" si="6"/>
        <v>82</v>
      </c>
      <c r="B84" s="8" t="s">
        <v>80</v>
      </c>
      <c r="C84" s="4"/>
      <c r="D84" s="4" t="s">
        <v>110</v>
      </c>
      <c r="E84" s="9" t="s">
        <v>123</v>
      </c>
      <c r="F84" s="4" t="str">
        <f>PROPER(LEFT(E84,FIND(" ",E84)-1)) &amp; " " &amp; PROPER(MID(E84,FIND(" ",E84)+1,LEN(E84)))</f>
        <v>Muhammad Nouman Khalid</v>
      </c>
      <c r="G84" s="4" t="s">
        <v>4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spans="1:19">
      <c r="A85" s="6">
        <f t="shared" si="6"/>
        <v>83</v>
      </c>
      <c r="B85" s="8" t="s">
        <v>81</v>
      </c>
      <c r="C85" s="4"/>
      <c r="D85" s="4" t="s">
        <v>110</v>
      </c>
      <c r="E85" s="9" t="s">
        <v>124</v>
      </c>
      <c r="F85" s="4" t="str">
        <f t="shared" ref="F85:F96" si="8">PROPER(LEFT(E85,FIND(" ",E85)-1)) &amp; " " &amp; PROPER(MID(E85,FIND(" ",E85)+1,LEN(E85)))</f>
        <v>Ziyan Ehsan</v>
      </c>
      <c r="G85" s="4" t="s">
        <v>4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spans="1:19">
      <c r="A86" s="6">
        <f t="shared" si="6"/>
        <v>84</v>
      </c>
      <c r="B86" s="8" t="s">
        <v>82</v>
      </c>
      <c r="C86" s="4"/>
      <c r="D86" s="4" t="s">
        <v>110</v>
      </c>
      <c r="E86" s="9" t="s">
        <v>125</v>
      </c>
      <c r="F86" s="4" t="str">
        <f t="shared" si="8"/>
        <v>Malaika Sarfraz Ahmed</v>
      </c>
      <c r="G86" s="4" t="s">
        <v>4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spans="1:19">
      <c r="A87" s="6">
        <f t="shared" si="6"/>
        <v>85</v>
      </c>
      <c r="B87" s="8" t="s">
        <v>83</v>
      </c>
      <c r="C87" s="4"/>
      <c r="D87" s="4" t="s">
        <v>110</v>
      </c>
      <c r="E87" s="9" t="s">
        <v>126</v>
      </c>
      <c r="F87" s="4" t="str">
        <f t="shared" si="8"/>
        <v>Laiba Tanveer</v>
      </c>
      <c r="G87" s="4" t="s">
        <v>4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>
      <c r="A88" s="6">
        <f t="shared" si="6"/>
        <v>86</v>
      </c>
      <c r="B88" s="8" t="s">
        <v>84</v>
      </c>
      <c r="C88" s="4"/>
      <c r="D88" s="4" t="s">
        <v>110</v>
      </c>
      <c r="E88" s="9" t="s">
        <v>127</v>
      </c>
      <c r="F88" s="4" t="s">
        <v>136</v>
      </c>
      <c r="G88" s="4" t="s">
        <v>4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1:19">
      <c r="A89" s="6">
        <f t="shared" si="6"/>
        <v>87</v>
      </c>
      <c r="B89" s="8" t="s">
        <v>85</v>
      </c>
      <c r="C89" s="4"/>
      <c r="D89" s="4" t="s">
        <v>110</v>
      </c>
      <c r="E89" s="9" t="s">
        <v>128</v>
      </c>
      <c r="F89" s="4" t="str">
        <f t="shared" si="8"/>
        <v>Ushna Batool</v>
      </c>
      <c r="G89" s="4" t="s">
        <v>4</v>
      </c>
      <c r="H89" s="4"/>
      <c r="I89" s="4"/>
      <c r="J89" s="4"/>
      <c r="K89" s="11">
        <v>155</v>
      </c>
      <c r="L89" s="4"/>
      <c r="M89" s="4"/>
      <c r="N89" s="4"/>
      <c r="O89" s="4"/>
      <c r="P89" s="4"/>
      <c r="Q89" s="4"/>
      <c r="R89" s="4"/>
      <c r="S89" s="4"/>
    </row>
    <row r="90" spans="1:19">
      <c r="A90" s="6">
        <f t="shared" si="6"/>
        <v>88</v>
      </c>
      <c r="B90" s="8" t="s">
        <v>86</v>
      </c>
      <c r="C90" s="4"/>
      <c r="D90" s="4" t="s">
        <v>110</v>
      </c>
      <c r="E90" s="9" t="s">
        <v>121</v>
      </c>
      <c r="F90" s="4" t="str">
        <f t="shared" si="8"/>
        <v>Muhammad Hammad Ahmad Shad</v>
      </c>
      <c r="G90" s="4" t="s">
        <v>4</v>
      </c>
      <c r="H90" s="4"/>
      <c r="I90" s="4"/>
      <c r="J90" s="4"/>
      <c r="K90" s="11">
        <v>156</v>
      </c>
      <c r="L90" s="4"/>
      <c r="M90" s="4"/>
      <c r="N90" s="4"/>
      <c r="O90" s="4"/>
      <c r="P90" s="4"/>
      <c r="Q90" s="4"/>
      <c r="R90" s="4"/>
      <c r="S90" s="4"/>
    </row>
    <row r="91" spans="1:19">
      <c r="A91" s="6">
        <f t="shared" si="6"/>
        <v>89</v>
      </c>
      <c r="B91" s="8" t="s">
        <v>87</v>
      </c>
      <c r="C91" s="4"/>
      <c r="D91" s="4" t="s">
        <v>110</v>
      </c>
      <c r="E91" s="9" t="s">
        <v>129</v>
      </c>
      <c r="F91" s="4" t="str">
        <f t="shared" si="8"/>
        <v>Abdullah Arif</v>
      </c>
      <c r="G91" s="4" t="s">
        <v>4</v>
      </c>
      <c r="H91" s="4"/>
      <c r="I91" s="4"/>
      <c r="J91" s="4"/>
      <c r="K91" s="11">
        <v>157</v>
      </c>
      <c r="L91" s="4"/>
      <c r="M91" s="4"/>
      <c r="N91" s="4"/>
      <c r="O91" s="4"/>
      <c r="P91" s="4"/>
      <c r="Q91" s="4"/>
      <c r="R91" s="4"/>
      <c r="S91" s="4"/>
    </row>
    <row r="92" spans="1:19">
      <c r="A92" s="6">
        <f t="shared" si="6"/>
        <v>90</v>
      </c>
      <c r="B92" s="8" t="s">
        <v>88</v>
      </c>
      <c r="C92" s="4"/>
      <c r="D92" s="4" t="s">
        <v>110</v>
      </c>
      <c r="E92" s="9" t="s">
        <v>130</v>
      </c>
      <c r="F92" s="4" t="str">
        <f t="shared" si="8"/>
        <v>Muhammad Zohaib</v>
      </c>
      <c r="G92" s="4" t="s">
        <v>4</v>
      </c>
      <c r="H92" s="4"/>
      <c r="I92" s="4"/>
      <c r="J92" s="4"/>
      <c r="K92" s="11">
        <v>179</v>
      </c>
      <c r="L92" s="4"/>
      <c r="M92" s="4"/>
      <c r="N92" s="4"/>
      <c r="O92" s="4"/>
      <c r="P92" s="4"/>
      <c r="Q92" s="4"/>
      <c r="R92" s="4"/>
      <c r="S92" s="4"/>
    </row>
    <row r="93" spans="1:19">
      <c r="A93" s="6">
        <f t="shared" si="6"/>
        <v>91</v>
      </c>
      <c r="B93" s="8" t="s">
        <v>89</v>
      </c>
      <c r="C93" s="4"/>
      <c r="D93" s="4" t="s">
        <v>110</v>
      </c>
      <c r="E93" s="9" t="s">
        <v>131</v>
      </c>
      <c r="F93" s="4" t="str">
        <f t="shared" si="8"/>
        <v>Hafiza Hooria Zahoor</v>
      </c>
      <c r="G93" s="4" t="s">
        <v>4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spans="1:19">
      <c r="A94" s="6">
        <f t="shared" si="6"/>
        <v>92</v>
      </c>
      <c r="B94" s="8" t="s">
        <v>90</v>
      </c>
      <c r="C94" s="4"/>
      <c r="D94" s="4" t="s">
        <v>110</v>
      </c>
      <c r="E94" s="9" t="s">
        <v>132</v>
      </c>
      <c r="F94" s="4" t="str">
        <f t="shared" si="8"/>
        <v>Abdullah Azhar</v>
      </c>
      <c r="G94" s="4" t="s">
        <v>4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spans="1:19">
      <c r="A95" s="6">
        <f t="shared" si="6"/>
        <v>93</v>
      </c>
      <c r="B95" s="8" t="s">
        <v>91</v>
      </c>
      <c r="C95" s="4"/>
      <c r="D95" s="4" t="s">
        <v>110</v>
      </c>
      <c r="E95" s="9" t="s">
        <v>133</v>
      </c>
      <c r="F95" s="4" t="str">
        <f t="shared" si="8"/>
        <v>Muzammal Shehzad</v>
      </c>
      <c r="G95" s="4" t="s">
        <v>4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spans="1:19">
      <c r="A96" s="6">
        <f t="shared" si="6"/>
        <v>94</v>
      </c>
      <c r="B96" s="8" t="s">
        <v>92</v>
      </c>
      <c r="C96" s="4"/>
      <c r="D96" s="4" t="s">
        <v>110</v>
      </c>
      <c r="E96" s="9" t="s">
        <v>134</v>
      </c>
      <c r="F96" s="4" t="str">
        <f t="shared" si="8"/>
        <v>Saad Hassan Abbasi</v>
      </c>
      <c r="G96" s="4" t="s">
        <v>4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spans="1:19">
      <c r="A97" s="6">
        <f t="shared" si="6"/>
        <v>95</v>
      </c>
      <c r="B97" s="8" t="s">
        <v>93</v>
      </c>
      <c r="C97" s="4"/>
      <c r="D97" s="4" t="s">
        <v>110</v>
      </c>
      <c r="E97" s="9" t="s">
        <v>135</v>
      </c>
      <c r="F97" s="4" t="str">
        <f>PROPER(LEFT(E97,FIND(" ",E97)-1)) &amp; " " &amp; PROPER(MID(E97,FIND(" ",E97)+1,LEN(E97)))</f>
        <v>Mohammad Saud</v>
      </c>
      <c r="G97" s="4" t="s">
        <v>4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spans="1:19">
      <c r="A98" s="6">
        <f t="shared" si="6"/>
        <v>96</v>
      </c>
      <c r="B98" s="4" t="str">
        <f>G71 &amp; K89</f>
        <v>2023-BS-AI-155</v>
      </c>
      <c r="C98" s="4"/>
      <c r="D98" s="4" t="s">
        <v>45</v>
      </c>
      <c r="E98" s="4"/>
      <c r="F98" s="7" t="s">
        <v>76</v>
      </c>
      <c r="G98" s="4" t="s">
        <v>4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spans="1:19">
      <c r="A99" s="6">
        <f t="shared" si="6"/>
        <v>97</v>
      </c>
      <c r="B99" s="4" t="str">
        <f>G72 &amp; K90</f>
        <v>2023-BS-AI-156</v>
      </c>
      <c r="C99" s="4"/>
      <c r="D99" s="4" t="s">
        <v>110</v>
      </c>
      <c r="E99" s="4"/>
      <c r="F99" s="7" t="s">
        <v>137</v>
      </c>
      <c r="G99" s="4" t="s">
        <v>4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spans="1:19">
      <c r="A100" s="6">
        <f t="shared" si="6"/>
        <v>98</v>
      </c>
      <c r="B100" s="4" t="str">
        <f>G72 &amp; K91</f>
        <v>2023-BS-AI-157</v>
      </c>
      <c r="C100" s="4"/>
      <c r="D100" s="4" t="s">
        <v>45</v>
      </c>
      <c r="E100" s="4"/>
      <c r="F100" s="7" t="s">
        <v>77</v>
      </c>
      <c r="G100" s="4" t="s">
        <v>4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spans="1:19">
      <c r="A101" s="6">
        <f t="shared" si="6"/>
        <v>99</v>
      </c>
      <c r="B101" s="8" t="s">
        <v>94</v>
      </c>
      <c r="C101" s="4"/>
      <c r="D101" s="4" t="s">
        <v>110</v>
      </c>
      <c r="E101" s="2" t="s">
        <v>138</v>
      </c>
      <c r="F101" s="4" t="str">
        <f>PROPER(LEFT(E101,FIND(" ",E101)-1)) &amp; " " &amp; PROPER(MID(E101,FIND(" ",E101)+1,LEN(E101)))</f>
        <v>Hassan Shahbaz</v>
      </c>
      <c r="G101" s="4" t="s">
        <v>4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spans="1:19">
      <c r="A102" s="6">
        <f t="shared" si="6"/>
        <v>100</v>
      </c>
      <c r="B102" s="8" t="s">
        <v>95</v>
      </c>
      <c r="C102" s="4"/>
      <c r="D102" s="4" t="s">
        <v>110</v>
      </c>
      <c r="E102" s="2" t="s">
        <v>139</v>
      </c>
      <c r="F102" s="4" t="str">
        <f t="shared" ref="F102:F111" si="9">PROPER(LEFT(E102,FIND(" ",E102)-1)) &amp; " " &amp; PROPER(MID(E102,FIND(" ",E102)+1,LEN(E102)))</f>
        <v>Abdul Rehman</v>
      </c>
      <c r="G102" s="4" t="s">
        <v>4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spans="1:19">
      <c r="A103" s="6">
        <f t="shared" si="6"/>
        <v>101</v>
      </c>
      <c r="B103" s="8" t="s">
        <v>96</v>
      </c>
      <c r="C103" s="4"/>
      <c r="D103" s="4" t="s">
        <v>110</v>
      </c>
      <c r="E103" s="2" t="s">
        <v>140</v>
      </c>
      <c r="F103" s="4" t="str">
        <f t="shared" si="9"/>
        <v>Asad Ullah Shafique</v>
      </c>
      <c r="G103" s="4" t="s">
        <v>4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spans="1:19">
      <c r="A104" s="6">
        <f t="shared" si="6"/>
        <v>102</v>
      </c>
      <c r="B104" s="8" t="s">
        <v>97</v>
      </c>
      <c r="C104" s="4"/>
      <c r="D104" s="4" t="s">
        <v>110</v>
      </c>
      <c r="E104" s="2" t="s">
        <v>141</v>
      </c>
      <c r="F104" s="4" t="str">
        <f t="shared" si="9"/>
        <v>Ahtisham Akram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spans="1:19">
      <c r="A105" s="6">
        <f t="shared" si="6"/>
        <v>103</v>
      </c>
      <c r="B105" s="8" t="s">
        <v>98</v>
      </c>
      <c r="C105" s="4"/>
      <c r="D105" s="4" t="s">
        <v>110</v>
      </c>
      <c r="E105" s="2" t="s">
        <v>142</v>
      </c>
      <c r="F105" s="4" t="str">
        <f t="shared" si="9"/>
        <v>Moazam Ur Rehman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spans="1:19">
      <c r="A106" s="6">
        <f t="shared" si="6"/>
        <v>104</v>
      </c>
      <c r="B106" s="8" t="s">
        <v>99</v>
      </c>
      <c r="C106" s="4"/>
      <c r="D106" s="4" t="s">
        <v>110</v>
      </c>
      <c r="E106" s="2" t="s">
        <v>143</v>
      </c>
      <c r="F106" s="4" t="str">
        <f t="shared" si="9"/>
        <v>Muhammad Abdullah Mehfooz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spans="1:19">
      <c r="A107" s="6">
        <f t="shared" si="6"/>
        <v>105</v>
      </c>
      <c r="B107" s="8" t="s">
        <v>100</v>
      </c>
      <c r="C107" s="4"/>
      <c r="D107" s="4" t="s">
        <v>110</v>
      </c>
      <c r="E107" s="2" t="s">
        <v>144</v>
      </c>
      <c r="F107" s="4" t="str">
        <f t="shared" si="9"/>
        <v>Laiba Murtaza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spans="1:19">
      <c r="A108" s="6">
        <f t="shared" si="6"/>
        <v>106</v>
      </c>
      <c r="B108" s="8" t="s">
        <v>101</v>
      </c>
      <c r="C108" s="4"/>
      <c r="D108" s="4" t="s">
        <v>110</v>
      </c>
      <c r="E108" s="2" t="s">
        <v>145</v>
      </c>
      <c r="F108" s="4" t="str">
        <f t="shared" si="9"/>
        <v>Usama Iftikhar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spans="1:19">
      <c r="A109" s="6">
        <f t="shared" si="6"/>
        <v>107</v>
      </c>
      <c r="B109" s="8" t="s">
        <v>102</v>
      </c>
      <c r="C109" s="4"/>
      <c r="D109" s="4" t="s">
        <v>110</v>
      </c>
      <c r="E109" s="2" t="s">
        <v>146</v>
      </c>
      <c r="F109" s="4" t="str">
        <f t="shared" si="9"/>
        <v>Abdul Manan Tanveer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spans="1:19">
      <c r="A110" s="6">
        <f t="shared" si="6"/>
        <v>108</v>
      </c>
      <c r="B110" s="8" t="s">
        <v>103</v>
      </c>
      <c r="C110" s="4"/>
      <c r="D110" s="4" t="s">
        <v>110</v>
      </c>
      <c r="E110" s="2" t="s">
        <v>147</v>
      </c>
      <c r="F110" s="4" t="str">
        <f t="shared" si="9"/>
        <v>Muhammad Hassan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spans="1:19">
      <c r="A111" s="6">
        <f t="shared" si="6"/>
        <v>109</v>
      </c>
      <c r="B111" s="8" t="s">
        <v>104</v>
      </c>
      <c r="C111" s="4"/>
      <c r="D111" s="4" t="s">
        <v>110</v>
      </c>
      <c r="E111" s="2" t="s">
        <v>148</v>
      </c>
      <c r="F111" s="4" t="str">
        <f t="shared" si="9"/>
        <v>Rihab Ahmed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spans="1:19">
      <c r="A112" s="6">
        <f t="shared" si="6"/>
        <v>110</v>
      </c>
      <c r="B112" s="8" t="s">
        <v>105</v>
      </c>
      <c r="C112" s="4"/>
      <c r="D112" s="4" t="s">
        <v>110</v>
      </c>
      <c r="E112" s="2" t="s">
        <v>149</v>
      </c>
      <c r="F112" s="4" t="str">
        <f>E:E</f>
        <v>MUHAMMAD SAAD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spans="1:19">
      <c r="A113" s="6">
        <f t="shared" si="6"/>
        <v>111</v>
      </c>
      <c r="B113" s="4" t="str">
        <f>G73 &amp; K92</f>
        <v>2023-BS-AI-179</v>
      </c>
      <c r="C113" s="4"/>
      <c r="D113" s="4" t="s">
        <v>45</v>
      </c>
      <c r="E113" s="4"/>
      <c r="F113" s="7" t="s">
        <v>78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spans="1:19">
      <c r="A114" s="6">
        <f t="shared" si="6"/>
        <v>112</v>
      </c>
      <c r="B114" s="8" t="s">
        <v>106</v>
      </c>
      <c r="C114" s="4"/>
      <c r="D114" s="4" t="s">
        <v>110</v>
      </c>
      <c r="E114" s="2" t="s">
        <v>150</v>
      </c>
      <c r="F114" s="4" t="str">
        <f>PROPER(LEFT(E114,FIND(" ",E114)-1)) &amp; " " &amp; PROPER(MID(E114,FIND(" ",E114)+1,LEN(E114)))</f>
        <v>Haziq Mustafa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spans="1:19">
      <c r="A115" s="6">
        <f t="shared" si="6"/>
        <v>113</v>
      </c>
      <c r="B115" s="8" t="s">
        <v>107</v>
      </c>
      <c r="C115" s="4"/>
      <c r="D115" s="4" t="s">
        <v>110</v>
      </c>
      <c r="E115" s="2" t="s">
        <v>151</v>
      </c>
      <c r="F115" s="4" t="str">
        <f t="shared" ref="F115:F117" si="10">PROPER(LEFT(E115,FIND(" ",E115)-1)) &amp; " " &amp; PROPER(MID(E115,FIND(" ",E115)+1,LEN(E115)))</f>
        <v>Aleeha Asif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spans="1:19">
      <c r="A116" s="6">
        <f t="shared" si="6"/>
        <v>114</v>
      </c>
      <c r="B116" s="8" t="s">
        <v>108</v>
      </c>
      <c r="C116" s="4"/>
      <c r="D116" s="4" t="s">
        <v>110</v>
      </c>
      <c r="E116" s="2" t="s">
        <v>152</v>
      </c>
      <c r="F116" s="4" t="str">
        <f t="shared" si="10"/>
        <v>Daniyal Ahmad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spans="1:19">
      <c r="A117" s="6">
        <f t="shared" si="6"/>
        <v>115</v>
      </c>
      <c r="B117" s="8" t="s">
        <v>109</v>
      </c>
      <c r="C117" s="4"/>
      <c r="D117" s="4" t="s">
        <v>110</v>
      </c>
      <c r="E117" s="2" t="s">
        <v>153</v>
      </c>
      <c r="F117" s="4" t="str">
        <f t="shared" si="10"/>
        <v>Laiba Jawad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spans="1:19">
      <c r="A118" s="1"/>
    </row>
    <row r="119" spans="1:19">
      <c r="A119" s="1"/>
    </row>
    <row r="120" spans="1:19">
      <c r="A120" s="1"/>
    </row>
    <row r="121" spans="1:19">
      <c r="A121" s="1"/>
    </row>
    <row r="122" spans="1:19">
      <c r="A122" s="1"/>
    </row>
  </sheetData>
  <mergeCells count="2">
    <mergeCell ref="B2:C2"/>
    <mergeCell ref="A1:S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Hamna Mirza</dc:creator>
  <cp:lastModifiedBy>Hamna Mirza</cp:lastModifiedBy>
  <cp:lastPrinted>2024-10-04T13:19:40Z</cp:lastPrinted>
  <dcterms:created xsi:type="dcterms:W3CDTF">2024-10-04T11:41:57Z</dcterms:created>
  <dcterms:modified xsi:type="dcterms:W3CDTF">2025-03-12T10:01:34Z</dcterms:modified>
</cp:coreProperties>
</file>